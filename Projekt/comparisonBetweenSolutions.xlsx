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8\Projekt\"/>
    </mc:Choice>
  </mc:AlternateContent>
  <xr:revisionPtr revIDLastSave="0" documentId="13_ncr:1_{CDB1678E-ECC1-4E09-BA89-989EC918C4A6}" xr6:coauthVersionLast="47" xr6:coauthVersionMax="47" xr10:uidLastSave="{00000000-0000-0000-0000-000000000000}"/>
  <bookViews>
    <workbookView xWindow="-120" yWindow="-21720" windowWidth="38640" windowHeight="21240" xr2:uid="{2DB39563-EA54-4CA3-B5B6-3088642C5BB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0" i="1" l="1"/>
  <c r="BI30" i="1"/>
  <c r="BJ30" i="1"/>
  <c r="BJ50" i="1" s="1"/>
  <c r="BK30" i="1"/>
  <c r="BL30" i="1"/>
  <c r="BL50" i="1" s="1"/>
  <c r="BM30" i="1"/>
  <c r="BM50" i="1" s="1"/>
  <c r="BN29" i="1"/>
  <c r="BO29" i="1"/>
  <c r="BN32" i="1"/>
  <c r="BO32" i="1"/>
  <c r="BN33" i="1"/>
  <c r="BO33" i="1"/>
  <c r="BN34" i="1"/>
  <c r="BO34" i="1"/>
  <c r="BN35" i="1"/>
  <c r="BO35" i="1"/>
  <c r="BN36" i="1"/>
  <c r="BO36" i="1"/>
  <c r="BN37" i="1"/>
  <c r="BO37" i="1"/>
  <c r="BN38" i="1"/>
  <c r="BO38" i="1"/>
  <c r="BN39" i="1"/>
  <c r="BO39" i="1"/>
  <c r="BN40" i="1"/>
  <c r="BO40" i="1"/>
  <c r="BN41" i="1"/>
  <c r="BO41" i="1"/>
  <c r="BN42" i="1"/>
  <c r="BO42" i="1"/>
  <c r="BN43" i="1"/>
  <c r="BO43" i="1"/>
  <c r="BN44" i="1"/>
  <c r="BO44" i="1"/>
  <c r="BN45" i="1"/>
  <c r="BO45" i="1"/>
  <c r="BN46" i="1"/>
  <c r="BO46" i="1"/>
  <c r="BN47" i="1"/>
  <c r="BO47" i="1"/>
  <c r="BN48" i="1"/>
  <c r="BO48" i="1"/>
  <c r="BN49" i="1"/>
  <c r="BO49" i="1"/>
  <c r="BH50" i="1"/>
  <c r="BK50" i="1"/>
  <c r="BO28" i="1"/>
  <c r="BN28" i="1"/>
  <c r="BO27" i="1"/>
  <c r="BN27" i="1"/>
  <c r="BO26" i="1"/>
  <c r="BN26" i="1"/>
  <c r="BO25" i="1"/>
  <c r="BN25" i="1"/>
  <c r="BO24" i="1"/>
  <c r="BN24" i="1"/>
  <c r="BO23" i="1"/>
  <c r="BN23" i="1"/>
  <c r="BO22" i="1"/>
  <c r="BN22" i="1"/>
  <c r="BO21" i="1"/>
  <c r="BN21" i="1"/>
  <c r="BO20" i="1"/>
  <c r="BN20" i="1"/>
  <c r="BO19" i="1"/>
  <c r="BN19" i="1"/>
  <c r="BO18" i="1"/>
  <c r="BN18" i="1"/>
  <c r="BO17" i="1"/>
  <c r="BN17" i="1"/>
  <c r="BO16" i="1"/>
  <c r="BN16" i="1"/>
  <c r="BO15" i="1"/>
  <c r="BN15" i="1"/>
  <c r="BO14" i="1"/>
  <c r="BN14" i="1"/>
  <c r="BO13" i="1"/>
  <c r="BN13" i="1"/>
  <c r="BO12" i="1"/>
  <c r="BN12" i="1"/>
  <c r="BO11" i="1"/>
  <c r="BN11" i="1"/>
  <c r="BO10" i="1"/>
  <c r="BN10" i="1"/>
  <c r="BO9" i="1"/>
  <c r="BN9" i="1"/>
  <c r="BO8" i="1"/>
  <c r="BN8" i="1"/>
  <c r="BO7" i="1"/>
  <c r="BN7" i="1"/>
  <c r="BO6" i="1"/>
  <c r="BN6" i="1"/>
  <c r="BO5" i="1"/>
  <c r="BN5" i="1"/>
  <c r="BO4" i="1"/>
  <c r="BN4" i="1"/>
  <c r="BO3" i="1"/>
  <c r="BN3" i="1"/>
  <c r="F30" i="1"/>
  <c r="M30" i="1" s="1"/>
  <c r="V37" i="1"/>
  <c r="G30" i="1"/>
  <c r="H30" i="1"/>
  <c r="I30" i="1"/>
  <c r="J30" i="1"/>
  <c r="L30" i="1"/>
  <c r="E30" i="1"/>
  <c r="F50" i="1"/>
  <c r="M50" i="1" s="1"/>
  <c r="G50" i="1"/>
  <c r="H50" i="1"/>
  <c r="I50" i="1"/>
  <c r="J50" i="1"/>
  <c r="L50" i="1"/>
  <c r="E50" i="1"/>
  <c r="BD49" i="1"/>
  <c r="BC49" i="1"/>
  <c r="AS49" i="1"/>
  <c r="AR49" i="1"/>
  <c r="AH49" i="1"/>
  <c r="AG49" i="1"/>
  <c r="W49" i="1"/>
  <c r="V49" i="1"/>
  <c r="K49" i="1"/>
  <c r="BD48" i="1"/>
  <c r="BC48" i="1"/>
  <c r="AS48" i="1"/>
  <c r="AR48" i="1"/>
  <c r="AH48" i="1"/>
  <c r="AG48" i="1"/>
  <c r="W48" i="1"/>
  <c r="V48" i="1"/>
  <c r="K48" i="1"/>
  <c r="BD47" i="1"/>
  <c r="BC47" i="1"/>
  <c r="AS47" i="1"/>
  <c r="AR47" i="1"/>
  <c r="AH47" i="1"/>
  <c r="AG47" i="1"/>
  <c r="W47" i="1"/>
  <c r="V47" i="1"/>
  <c r="K47" i="1"/>
  <c r="BD46" i="1"/>
  <c r="BC46" i="1"/>
  <c r="AS46" i="1"/>
  <c r="AR46" i="1"/>
  <c r="AH46" i="1"/>
  <c r="AG46" i="1"/>
  <c r="W46" i="1"/>
  <c r="V46" i="1"/>
  <c r="K46" i="1"/>
  <c r="BD45" i="1"/>
  <c r="BC45" i="1"/>
  <c r="AS45" i="1"/>
  <c r="AR45" i="1"/>
  <c r="AH45" i="1"/>
  <c r="AG45" i="1"/>
  <c r="W45" i="1"/>
  <c r="V45" i="1"/>
  <c r="K45" i="1"/>
  <c r="BD44" i="1"/>
  <c r="BC44" i="1"/>
  <c r="AS44" i="1"/>
  <c r="AR44" i="1"/>
  <c r="AH44" i="1"/>
  <c r="AG44" i="1"/>
  <c r="W44" i="1"/>
  <c r="V44" i="1"/>
  <c r="K44" i="1"/>
  <c r="BD43" i="1"/>
  <c r="BC43" i="1"/>
  <c r="AS43" i="1"/>
  <c r="AR43" i="1"/>
  <c r="AH43" i="1"/>
  <c r="AG43" i="1"/>
  <c r="W43" i="1"/>
  <c r="V43" i="1"/>
  <c r="K43" i="1"/>
  <c r="BD42" i="1"/>
  <c r="BC42" i="1"/>
  <c r="AS42" i="1"/>
  <c r="AR42" i="1"/>
  <c r="AH42" i="1"/>
  <c r="AG42" i="1"/>
  <c r="W42" i="1"/>
  <c r="V42" i="1"/>
  <c r="K42" i="1"/>
  <c r="BD41" i="1"/>
  <c r="BC41" i="1"/>
  <c r="AS41" i="1"/>
  <c r="AR41" i="1"/>
  <c r="AH41" i="1"/>
  <c r="AG41" i="1"/>
  <c r="W41" i="1"/>
  <c r="V41" i="1"/>
  <c r="K41" i="1"/>
  <c r="BD40" i="1"/>
  <c r="BC40" i="1"/>
  <c r="AS40" i="1"/>
  <c r="AR40" i="1"/>
  <c r="AH40" i="1"/>
  <c r="AG40" i="1"/>
  <c r="W40" i="1"/>
  <c r="V40" i="1"/>
  <c r="K40" i="1"/>
  <c r="BD39" i="1"/>
  <c r="BC39" i="1"/>
  <c r="AS39" i="1"/>
  <c r="AR39" i="1"/>
  <c r="AH39" i="1"/>
  <c r="AG39" i="1"/>
  <c r="W39" i="1"/>
  <c r="V39" i="1"/>
  <c r="K39" i="1"/>
  <c r="BD38" i="1"/>
  <c r="BC38" i="1"/>
  <c r="AS38" i="1"/>
  <c r="AR38" i="1"/>
  <c r="AH38" i="1"/>
  <c r="AG38" i="1"/>
  <c r="W38" i="1"/>
  <c r="V38" i="1"/>
  <c r="K38" i="1"/>
  <c r="BD37" i="1"/>
  <c r="BC37" i="1"/>
  <c r="AS37" i="1"/>
  <c r="AR37" i="1"/>
  <c r="AH37" i="1"/>
  <c r="AG37" i="1"/>
  <c r="W37" i="1"/>
  <c r="K37" i="1"/>
  <c r="BD36" i="1"/>
  <c r="BC36" i="1"/>
  <c r="AS36" i="1"/>
  <c r="AR36" i="1"/>
  <c r="AH36" i="1"/>
  <c r="AG36" i="1"/>
  <c r="W36" i="1"/>
  <c r="V36" i="1"/>
  <c r="K36" i="1"/>
  <c r="BD35" i="1"/>
  <c r="BC35" i="1"/>
  <c r="AS35" i="1"/>
  <c r="AR35" i="1"/>
  <c r="AH35" i="1"/>
  <c r="AG35" i="1"/>
  <c r="W35" i="1"/>
  <c r="V35" i="1"/>
  <c r="K35" i="1"/>
  <c r="BD34" i="1"/>
  <c r="BC34" i="1"/>
  <c r="AS34" i="1"/>
  <c r="AR34" i="1"/>
  <c r="AH34" i="1"/>
  <c r="AG34" i="1"/>
  <c r="W34" i="1"/>
  <c r="V34" i="1"/>
  <c r="K34" i="1"/>
  <c r="BD33" i="1"/>
  <c r="BC33" i="1"/>
  <c r="AS33" i="1"/>
  <c r="AR33" i="1"/>
  <c r="AH33" i="1"/>
  <c r="AG33" i="1"/>
  <c r="W33" i="1"/>
  <c r="V33" i="1"/>
  <c r="K33" i="1"/>
  <c r="BD32" i="1"/>
  <c r="BC32" i="1"/>
  <c r="AS32" i="1"/>
  <c r="AR32" i="1"/>
  <c r="AH32" i="1"/>
  <c r="AG32" i="1"/>
  <c r="W32" i="1"/>
  <c r="V32" i="1"/>
  <c r="K32" i="1"/>
  <c r="AS29" i="1"/>
  <c r="AR29" i="1"/>
  <c r="AS28" i="1"/>
  <c r="AR28" i="1"/>
  <c r="AS27" i="1"/>
  <c r="AR27" i="1"/>
  <c r="AS26" i="1"/>
  <c r="AR26" i="1"/>
  <c r="AS25" i="1"/>
  <c r="AR25" i="1"/>
  <c r="AS24" i="1"/>
  <c r="AR24" i="1"/>
  <c r="AS23" i="1"/>
  <c r="AR23" i="1"/>
  <c r="AS22" i="1"/>
  <c r="AR22" i="1"/>
  <c r="AS21" i="1"/>
  <c r="AR21" i="1"/>
  <c r="AS20" i="1"/>
  <c r="AR20" i="1"/>
  <c r="AS19" i="1"/>
  <c r="AR19" i="1"/>
  <c r="AS18" i="1"/>
  <c r="AR18" i="1"/>
  <c r="AS17" i="1"/>
  <c r="AR17" i="1"/>
  <c r="AS16" i="1"/>
  <c r="AR16" i="1"/>
  <c r="AS15" i="1"/>
  <c r="AR15" i="1"/>
  <c r="AS14" i="1"/>
  <c r="AR14" i="1"/>
  <c r="AS13" i="1"/>
  <c r="AR13" i="1"/>
  <c r="AS12" i="1"/>
  <c r="AR12" i="1"/>
  <c r="AS11" i="1"/>
  <c r="AR11" i="1"/>
  <c r="AS10" i="1"/>
  <c r="AR10" i="1"/>
  <c r="AS9" i="1"/>
  <c r="AR9" i="1"/>
  <c r="AS8" i="1"/>
  <c r="AR8" i="1"/>
  <c r="AS7" i="1"/>
  <c r="AR7" i="1"/>
  <c r="AS6" i="1"/>
  <c r="AR6" i="1"/>
  <c r="AS5" i="1"/>
  <c r="AR5" i="1"/>
  <c r="AS4" i="1"/>
  <c r="AR4" i="1"/>
  <c r="AS3" i="1"/>
  <c r="AR3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G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W3" i="1"/>
  <c r="V3" i="1"/>
  <c r="BD29" i="1"/>
  <c r="BC29" i="1"/>
  <c r="BD28" i="1"/>
  <c r="BC28" i="1"/>
  <c r="BD27" i="1"/>
  <c r="BC27" i="1"/>
  <c r="BD26" i="1"/>
  <c r="BC26" i="1"/>
  <c r="BD25" i="1"/>
  <c r="BC25" i="1"/>
  <c r="BD24" i="1"/>
  <c r="BC24" i="1"/>
  <c r="BD23" i="1"/>
  <c r="BC23" i="1"/>
  <c r="BD22" i="1"/>
  <c r="BC22" i="1"/>
  <c r="BD21" i="1"/>
  <c r="BC21" i="1"/>
  <c r="BD20" i="1"/>
  <c r="BC20" i="1"/>
  <c r="BD19" i="1"/>
  <c r="BC19" i="1"/>
  <c r="BD18" i="1"/>
  <c r="BC18" i="1"/>
  <c r="BD17" i="1"/>
  <c r="BC17" i="1"/>
  <c r="BD16" i="1"/>
  <c r="BC16" i="1"/>
  <c r="BD15" i="1"/>
  <c r="BC15" i="1"/>
  <c r="BD14" i="1"/>
  <c r="BC14" i="1"/>
  <c r="BD13" i="1"/>
  <c r="BC13" i="1"/>
  <c r="BD12" i="1"/>
  <c r="BC12" i="1"/>
  <c r="BD11" i="1"/>
  <c r="BC11" i="1"/>
  <c r="BD10" i="1"/>
  <c r="BC10" i="1"/>
  <c r="BD9" i="1"/>
  <c r="BC9" i="1"/>
  <c r="BD8" i="1"/>
  <c r="BC8" i="1"/>
  <c r="BD7" i="1"/>
  <c r="BC7" i="1"/>
  <c r="BD6" i="1"/>
  <c r="BC6" i="1"/>
  <c r="BD5" i="1"/>
  <c r="BC5" i="1"/>
  <c r="BD4" i="1"/>
  <c r="BC4" i="1"/>
  <c r="BD3" i="1"/>
  <c r="BC3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U30" i="1"/>
  <c r="U50" i="1" s="1"/>
  <c r="BB30" i="1"/>
  <c r="BB50" i="1" s="1"/>
  <c r="BA30" i="1"/>
  <c r="BA50" i="1" s="1"/>
  <c r="AZ30" i="1"/>
  <c r="AZ50" i="1" s="1"/>
  <c r="AY30" i="1"/>
  <c r="AY50" i="1" s="1"/>
  <c r="AX30" i="1"/>
  <c r="AX50" i="1" s="1"/>
  <c r="BE50" i="1" s="1"/>
  <c r="AW30" i="1"/>
  <c r="AW50" i="1" s="1"/>
  <c r="AQ30" i="1"/>
  <c r="AQ50" i="1" s="1"/>
  <c r="AP30" i="1"/>
  <c r="AP50" i="1" s="1"/>
  <c r="AO30" i="1"/>
  <c r="AO50" i="1" s="1"/>
  <c r="AN30" i="1"/>
  <c r="AN50" i="1" s="1"/>
  <c r="AM30" i="1"/>
  <c r="AM50" i="1" s="1"/>
  <c r="AT50" i="1" s="1"/>
  <c r="AL30" i="1"/>
  <c r="AL50" i="1" s="1"/>
  <c r="AF30" i="1"/>
  <c r="AF50" i="1" s="1"/>
  <c r="AE30" i="1"/>
  <c r="AE50" i="1" s="1"/>
  <c r="AD30" i="1"/>
  <c r="AD50" i="1" s="1"/>
  <c r="AC30" i="1"/>
  <c r="AC50" i="1" s="1"/>
  <c r="AB30" i="1"/>
  <c r="AB50" i="1" s="1"/>
  <c r="AI50" i="1" s="1"/>
  <c r="AA30" i="1"/>
  <c r="AA50" i="1" s="1"/>
  <c r="T30" i="1"/>
  <c r="T50" i="1" s="1"/>
  <c r="S30" i="1"/>
  <c r="S50" i="1" s="1"/>
  <c r="R30" i="1"/>
  <c r="R50" i="1" s="1"/>
  <c r="Q30" i="1"/>
  <c r="Q50" i="1" s="1"/>
  <c r="X50" i="1" s="1"/>
  <c r="P30" i="1"/>
  <c r="P50" i="1" s="1"/>
  <c r="BN30" i="1" l="1"/>
  <c r="BN50" i="1" s="1"/>
  <c r="BO30" i="1"/>
  <c r="BI50" i="1"/>
  <c r="BP50" i="1" s="1"/>
  <c r="BP30" i="1"/>
  <c r="BO50" i="1"/>
  <c r="X30" i="1"/>
  <c r="AI30" i="1"/>
  <c r="AH30" i="1"/>
  <c r="AH50" i="1" s="1"/>
  <c r="AS30" i="1"/>
  <c r="AT30" i="1"/>
  <c r="K30" i="1"/>
  <c r="V30" i="1"/>
  <c r="V50" i="1" s="1"/>
  <c r="AS50" i="1"/>
  <c r="BE30" i="1"/>
  <c r="BD30" i="1"/>
  <c r="BD50" i="1" s="1"/>
  <c r="W30" i="1"/>
  <c r="W50" i="1" s="1"/>
  <c r="K50" i="1"/>
  <c r="BC30" i="1"/>
  <c r="BC50" i="1" s="1"/>
  <c r="AG30" i="1"/>
  <c r="AG50" i="1" s="1"/>
  <c r="AR30" i="1"/>
  <c r="AR50" i="1" s="1"/>
</calcChain>
</file>

<file path=xl/sharedStrings.xml><?xml version="1.0" encoding="utf-8"?>
<sst xmlns="http://schemas.openxmlformats.org/spreadsheetml/2006/main" count="393" uniqueCount="47">
  <si>
    <t>A Sabine m2</t>
  </si>
  <si>
    <t>TR Sabine S</t>
  </si>
  <si>
    <t>L sabine dB</t>
  </si>
  <si>
    <t>A Eyring m2</t>
  </si>
  <si>
    <t>TR eyring S</t>
  </si>
  <si>
    <t>Real Measurements</t>
  </si>
  <si>
    <t>RT60</t>
  </si>
  <si>
    <t>RT60 Comparison to real</t>
  </si>
  <si>
    <t>RT60 Comparison to sim</t>
  </si>
  <si>
    <t>50 Hz</t>
  </si>
  <si>
    <t>63 Hz</t>
  </si>
  <si>
    <t>80 Hz</t>
  </si>
  <si>
    <t>1000 Hz</t>
  </si>
  <si>
    <t>1250 Hz</t>
  </si>
  <si>
    <t>100 Hz</t>
  </si>
  <si>
    <t>125 Hz</t>
  </si>
  <si>
    <t>200 hz</t>
  </si>
  <si>
    <t>250 Hz</t>
  </si>
  <si>
    <t>315 Hz</t>
  </si>
  <si>
    <t>400 Hz</t>
  </si>
  <si>
    <t>500 Hz</t>
  </si>
  <si>
    <t>630 Hz</t>
  </si>
  <si>
    <t>800 Hz</t>
  </si>
  <si>
    <t>2000 Hz</t>
  </si>
  <si>
    <t>160 Hz</t>
  </si>
  <si>
    <t>1600 Hz</t>
  </si>
  <si>
    <t>2500 Hz</t>
  </si>
  <si>
    <t>3150 Hz</t>
  </si>
  <si>
    <t>4000 Hz</t>
  </si>
  <si>
    <t>5000 Hz</t>
  </si>
  <si>
    <t>6300 Hz</t>
  </si>
  <si>
    <t>8000 Hz</t>
  </si>
  <si>
    <t>10000 Hz</t>
  </si>
  <si>
    <t>12500 Hz</t>
  </si>
  <si>
    <t>16000 Hz</t>
  </si>
  <si>
    <t>20000 Hz</t>
  </si>
  <si>
    <t>Kaabe</t>
  </si>
  <si>
    <t>Kaabe Rumdelere</t>
  </si>
  <si>
    <t>StarWall</t>
  </si>
  <si>
    <t>Star</t>
  </si>
  <si>
    <t>StandardSim</t>
  </si>
  <si>
    <t>Average</t>
  </si>
  <si>
    <t>L Eyring dB</t>
  </si>
  <si>
    <t>Average across all sources</t>
  </si>
  <si>
    <t>Focus on 100-5000Hz</t>
  </si>
  <si>
    <t>RT60 Difference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</si>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</sst>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2" xfId="1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2" borderId="4" xfId="0" applyNumberFormat="1" applyFill="1" applyBorder="1"/>
    <xf numFmtId="164" fontId="0" fillId="0" borderId="5" xfId="0" applyNumberFormat="1" applyBorder="1"/>
    <xf numFmtId="164" fontId="0" fillId="2" borderId="5" xfId="0" applyNumberFormat="1" applyFill="1" applyBorder="1"/>
    <xf numFmtId="164" fontId="0" fillId="0" borderId="2" xfId="0" applyNumberFormat="1" applyBorder="1"/>
    <xf numFmtId="164" fontId="0" fillId="0" borderId="0" xfId="0" applyNumberFormat="1"/>
    <xf numFmtId="164" fontId="0" fillId="2" borderId="2" xfId="0" applyNumberFormat="1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6" xfId="0" applyNumberFormat="1" applyBorder="1"/>
    <xf numFmtId="164" fontId="0" fillId="2" borderId="3" xfId="0" applyNumberFormat="1" applyFill="1" applyBorder="1"/>
    <xf numFmtId="164" fontId="0" fillId="0" borderId="9" xfId="0" applyNumberFormat="1" applyBorder="1"/>
    <xf numFmtId="164" fontId="0" fillId="2" borderId="10" xfId="0" applyNumberFormat="1" applyFill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2" borderId="11" xfId="0" applyNumberFormat="1" applyFill="1" applyBorder="1"/>
    <xf numFmtId="164" fontId="0" fillId="0" borderId="11" xfId="1" applyNumberFormat="1" applyFont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2" borderId="6" xfId="0" applyNumberFormat="1" applyFill="1" applyBorder="1"/>
    <xf numFmtId="164" fontId="0" fillId="2" borderId="9" xfId="0" applyNumberFormat="1" applyFill="1" applyBorder="1"/>
    <xf numFmtId="164" fontId="0" fillId="2" borderId="15" xfId="0" applyNumberFormat="1" applyFill="1" applyBorder="1"/>
    <xf numFmtId="164" fontId="0" fillId="2" borderId="7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8E2F-E33F-444B-9A60-B73E232BC4BB}">
  <dimension ref="A1:BP52"/>
  <sheetViews>
    <sheetView tabSelected="1" topLeftCell="AG1" zoomScale="70" zoomScaleNormal="70" workbookViewId="0">
      <selection activeCell="BN65" sqref="BN65"/>
    </sheetView>
  </sheetViews>
  <sheetFormatPr defaultRowHeight="14.4" x14ac:dyDescent="0.3"/>
  <cols>
    <col min="1" max="1" width="19.5546875" style="10" bestFit="1" customWidth="1"/>
    <col min="2" max="2" width="6.6640625" style="10" bestFit="1" customWidth="1"/>
    <col min="3" max="3" width="2.21875" style="11" customWidth="1"/>
    <col min="4" max="4" width="13.21875" style="10" bestFit="1" customWidth="1"/>
    <col min="5" max="5" width="12.77734375" style="10" bestFit="1" customWidth="1"/>
    <col min="6" max="6" width="12.6640625" style="10" bestFit="1" customWidth="1"/>
    <col min="7" max="7" width="12.109375" style="10" bestFit="1" customWidth="1"/>
    <col min="8" max="8" width="11.77734375" style="10" bestFit="1" customWidth="1"/>
    <col min="9" max="9" width="11.6640625" style="10" bestFit="1" customWidth="1"/>
    <col min="10" max="10" width="11.33203125" style="10" bestFit="1" customWidth="1"/>
    <col min="11" max="11" width="23.88671875" style="10" bestFit="1" customWidth="1"/>
    <col min="12" max="12" width="23.5546875" style="10" bestFit="1" customWidth="1"/>
    <col min="13" max="13" width="16.33203125" style="10" bestFit="1" customWidth="1"/>
    <col min="14" max="14" width="2.21875" style="11" customWidth="1"/>
    <col min="15" max="15" width="10" style="10" bestFit="1" customWidth="1"/>
    <col min="16" max="16" width="12.77734375" style="10" bestFit="1" customWidth="1"/>
    <col min="17" max="17" width="12.6640625" style="10" bestFit="1" customWidth="1"/>
    <col min="18" max="18" width="12.109375" style="10" bestFit="1" customWidth="1"/>
    <col min="19" max="19" width="11.77734375" style="10" bestFit="1" customWidth="1"/>
    <col min="20" max="20" width="11.6640625" style="10" bestFit="1" customWidth="1"/>
    <col min="21" max="21" width="11.33203125" style="10" bestFit="1" customWidth="1"/>
    <col min="22" max="22" width="23.88671875" style="10" bestFit="1" customWidth="1"/>
    <col min="23" max="23" width="23.5546875" style="10" bestFit="1" customWidth="1"/>
    <col min="24" max="24" width="16.33203125" style="10" customWidth="1"/>
    <col min="25" max="25" width="2" style="11" customWidth="1"/>
    <col min="26" max="26" width="18" style="10" bestFit="1" customWidth="1"/>
    <col min="27" max="27" width="12.77734375" style="10" bestFit="1" customWidth="1"/>
    <col min="28" max="28" width="12.6640625" style="10" bestFit="1" customWidth="1"/>
    <col min="29" max="29" width="12.109375" style="10" bestFit="1" customWidth="1"/>
    <col min="30" max="30" width="11.77734375" style="10" bestFit="1" customWidth="1"/>
    <col min="31" max="31" width="11.6640625" style="10" bestFit="1" customWidth="1"/>
    <col min="32" max="32" width="11.33203125" style="10" bestFit="1" customWidth="1"/>
    <col min="33" max="33" width="23.88671875" style="10" bestFit="1" customWidth="1"/>
    <col min="34" max="34" width="23.5546875" style="10" bestFit="1" customWidth="1"/>
    <col min="35" max="35" width="16.33203125" style="10" bestFit="1" customWidth="1"/>
    <col min="36" max="36" width="2" style="11" customWidth="1"/>
    <col min="37" max="37" width="10" style="10" bestFit="1" customWidth="1"/>
    <col min="38" max="38" width="12.77734375" style="10" bestFit="1" customWidth="1"/>
    <col min="39" max="39" width="12.6640625" style="10" bestFit="1" customWidth="1"/>
    <col min="40" max="40" width="12.109375" style="10" bestFit="1" customWidth="1"/>
    <col min="41" max="41" width="11.77734375" style="10" bestFit="1" customWidth="1"/>
    <col min="42" max="42" width="11.6640625" style="10" bestFit="1" customWidth="1"/>
    <col min="43" max="43" width="11.33203125" style="10" bestFit="1" customWidth="1"/>
    <col min="44" max="44" width="23.88671875" style="10" bestFit="1" customWidth="1"/>
    <col min="45" max="45" width="23.5546875" style="10" bestFit="1" customWidth="1"/>
    <col min="46" max="46" width="16.33203125" style="10" bestFit="1" customWidth="1"/>
    <col min="47" max="47" width="2" style="11" customWidth="1"/>
    <col min="48" max="48" width="10" style="10" bestFit="1" customWidth="1"/>
    <col min="49" max="49" width="12.77734375" style="10" bestFit="1" customWidth="1"/>
    <col min="50" max="50" width="12.6640625" style="10" bestFit="1" customWidth="1"/>
    <col min="51" max="51" width="12.109375" style="10" bestFit="1" customWidth="1"/>
    <col min="52" max="52" width="11.77734375" style="10" bestFit="1" customWidth="1"/>
    <col min="53" max="53" width="11.6640625" style="10" bestFit="1" customWidth="1"/>
    <col min="54" max="54" width="11.33203125" style="10" bestFit="1" customWidth="1"/>
    <col min="55" max="55" width="23.88671875" style="10" bestFit="1" customWidth="1"/>
    <col min="56" max="56" width="23.5546875" style="10" bestFit="1" customWidth="1"/>
    <col min="57" max="57" width="16.33203125" style="10" customWidth="1"/>
    <col min="58" max="58" width="2.21875" style="8" customWidth="1"/>
    <col min="59" max="59" width="9" style="8" bestFit="1" customWidth="1"/>
    <col min="60" max="60" width="11.21875" style="8" bestFit="1" customWidth="1"/>
    <col min="61" max="61" width="10.5546875" style="8" bestFit="1" customWidth="1"/>
    <col min="62" max="62" width="10.44140625" style="8" bestFit="1" customWidth="1"/>
    <col min="63" max="63" width="10.5546875" style="8" bestFit="1" customWidth="1"/>
    <col min="64" max="64" width="9.77734375" style="8" bestFit="1" customWidth="1"/>
    <col min="65" max="65" width="10" style="8" bestFit="1" customWidth="1"/>
    <col min="66" max="67" width="21.6640625" style="8" bestFit="1" customWidth="1"/>
    <col min="68" max="68" width="14.21875" style="8" bestFit="1" customWidth="1"/>
    <col min="69" max="16384" width="8.88671875" style="8"/>
  </cols>
  <sheetData>
    <row r="1" spans="1:68" s="5" customFormat="1" ht="15" thickBot="1" x14ac:dyDescent="0.35">
      <c r="A1" s="2" t="s">
        <v>5</v>
      </c>
      <c r="B1" s="3" t="s">
        <v>6</v>
      </c>
      <c r="C1" s="4"/>
      <c r="D1" s="3" t="s">
        <v>40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42</v>
      </c>
      <c r="K1" s="3" t="s">
        <v>7</v>
      </c>
      <c r="L1" s="3" t="s">
        <v>8</v>
      </c>
      <c r="M1" s="3" t="s">
        <v>45</v>
      </c>
      <c r="N1" s="4"/>
      <c r="O1" s="3" t="s">
        <v>36</v>
      </c>
      <c r="P1" s="3" t="s">
        <v>0</v>
      </c>
      <c r="Q1" s="3" t="s">
        <v>1</v>
      </c>
      <c r="R1" s="3" t="s">
        <v>2</v>
      </c>
      <c r="S1" s="3" t="s">
        <v>3</v>
      </c>
      <c r="T1" s="3" t="s">
        <v>4</v>
      </c>
      <c r="U1" s="3" t="s">
        <v>42</v>
      </c>
      <c r="V1" s="3" t="s">
        <v>7</v>
      </c>
      <c r="W1" s="3" t="s">
        <v>8</v>
      </c>
      <c r="X1" s="3" t="s">
        <v>45</v>
      </c>
      <c r="Y1" s="4"/>
      <c r="Z1" s="3" t="s">
        <v>37</v>
      </c>
      <c r="AA1" s="3" t="s">
        <v>0</v>
      </c>
      <c r="AB1" s="3" t="s">
        <v>1</v>
      </c>
      <c r="AC1" s="3" t="s">
        <v>2</v>
      </c>
      <c r="AD1" s="3" t="s">
        <v>3</v>
      </c>
      <c r="AE1" s="3" t="s">
        <v>4</v>
      </c>
      <c r="AF1" s="3" t="s">
        <v>42</v>
      </c>
      <c r="AG1" s="3" t="s">
        <v>7</v>
      </c>
      <c r="AH1" s="3" t="s">
        <v>8</v>
      </c>
      <c r="AI1" s="3" t="s">
        <v>45</v>
      </c>
      <c r="AJ1" s="4"/>
      <c r="AK1" s="3" t="s">
        <v>39</v>
      </c>
      <c r="AL1" s="3" t="s">
        <v>0</v>
      </c>
      <c r="AM1" s="3" t="s">
        <v>1</v>
      </c>
      <c r="AN1" s="3" t="s">
        <v>2</v>
      </c>
      <c r="AO1" s="3" t="s">
        <v>3</v>
      </c>
      <c r="AP1" s="3" t="s">
        <v>4</v>
      </c>
      <c r="AQ1" s="3" t="s">
        <v>42</v>
      </c>
      <c r="AR1" s="3" t="s">
        <v>7</v>
      </c>
      <c r="AS1" s="3" t="s">
        <v>8</v>
      </c>
      <c r="AT1" s="3" t="s">
        <v>45</v>
      </c>
      <c r="AU1" s="4"/>
      <c r="AV1" s="3" t="s">
        <v>38</v>
      </c>
      <c r="AW1" s="3" t="s">
        <v>0</v>
      </c>
      <c r="AX1" s="3" t="s">
        <v>1</v>
      </c>
      <c r="AY1" s="3" t="s">
        <v>2</v>
      </c>
      <c r="AZ1" s="3" t="s">
        <v>3</v>
      </c>
      <c r="BA1" s="3" t="s">
        <v>4</v>
      </c>
      <c r="BB1" s="3" t="s">
        <v>42</v>
      </c>
      <c r="BC1" s="3" t="s">
        <v>7</v>
      </c>
      <c r="BD1" s="3" t="s">
        <v>8</v>
      </c>
      <c r="BE1" s="3" t="s">
        <v>45</v>
      </c>
      <c r="BF1" s="4"/>
      <c r="BG1" s="3" t="s">
        <v>46</v>
      </c>
      <c r="BH1" s="3" t="s">
        <v>0</v>
      </c>
      <c r="BI1" s="3" t="s">
        <v>1</v>
      </c>
      <c r="BJ1" s="3" t="s">
        <v>2</v>
      </c>
      <c r="BK1" s="3" t="s">
        <v>3</v>
      </c>
      <c r="BL1" s="3" t="s">
        <v>4</v>
      </c>
      <c r="BM1" s="3" t="s">
        <v>42</v>
      </c>
      <c r="BN1" s="3" t="s">
        <v>7</v>
      </c>
      <c r="BO1" s="3" t="s">
        <v>8</v>
      </c>
      <c r="BP1" s="3" t="s">
        <v>45</v>
      </c>
    </row>
    <row r="2" spans="1:68" s="6" customFormat="1" ht="15" thickBot="1" x14ac:dyDescent="0.35">
      <c r="A2" s="26" t="s">
        <v>43</v>
      </c>
      <c r="B2" s="2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s="18" customFormat="1" x14ac:dyDescent="0.3">
      <c r="A3" s="17" t="s">
        <v>9</v>
      </c>
      <c r="B3" s="10">
        <v>0.96</v>
      </c>
      <c r="C3" s="19"/>
      <c r="D3" s="17" t="s">
        <v>9</v>
      </c>
      <c r="E3" s="17">
        <v>61.85772</v>
      </c>
      <c r="F3" s="17">
        <v>0.95875049999999995</v>
      </c>
      <c r="G3" s="17">
        <v>63.386760000000002</v>
      </c>
      <c r="H3" s="17">
        <v>65.606300000000005</v>
      </c>
      <c r="I3" s="17">
        <v>0.90399180000000001</v>
      </c>
      <c r="J3" s="17">
        <v>63.131349999999998</v>
      </c>
      <c r="K3" s="20">
        <f>F3-B3</f>
        <v>-1.2495000000000145E-3</v>
      </c>
      <c r="L3" s="17">
        <v>0</v>
      </c>
      <c r="M3" s="17"/>
      <c r="N3" s="19"/>
      <c r="O3" s="17" t="s">
        <v>9</v>
      </c>
      <c r="P3" s="17">
        <v>63.150550000000003</v>
      </c>
      <c r="Q3" s="17">
        <v>0.93657049999999997</v>
      </c>
      <c r="R3" s="17">
        <v>63.296970000000002</v>
      </c>
      <c r="S3" s="17">
        <v>66.963509999999999</v>
      </c>
      <c r="T3" s="17">
        <v>0.8832622</v>
      </c>
      <c r="U3" s="17">
        <v>63.042459999999998</v>
      </c>
      <c r="V3" s="17">
        <f>Q3-$B3</f>
        <v>-2.3429499999999992E-2</v>
      </c>
      <c r="W3" s="17">
        <f>Q3-$F3</f>
        <v>-2.2179999999999978E-2</v>
      </c>
      <c r="X3" s="17"/>
      <c r="Y3" s="19"/>
      <c r="Z3" s="17" t="s">
        <v>9</v>
      </c>
      <c r="AA3" s="17">
        <v>64.175169999999994</v>
      </c>
      <c r="AB3" s="17">
        <v>0.92340109999999997</v>
      </c>
      <c r="AC3" s="17">
        <v>63.2271</v>
      </c>
      <c r="AD3" s="17">
        <v>67.862780000000001</v>
      </c>
      <c r="AE3" s="17">
        <v>0.87324349999999995</v>
      </c>
      <c r="AF3" s="17">
        <v>62.984549999999999</v>
      </c>
      <c r="AG3" s="17">
        <f>AB3-$B3</f>
        <v>-3.659889999999999E-2</v>
      </c>
      <c r="AH3" s="17">
        <f>AB3-$F3</f>
        <v>-3.5349399999999975E-2</v>
      </c>
      <c r="AI3" s="17"/>
      <c r="AJ3" s="19"/>
      <c r="AK3" s="17" t="s">
        <v>9</v>
      </c>
      <c r="AL3" s="17">
        <v>63.653829999999999</v>
      </c>
      <c r="AM3" s="17">
        <v>0.92391259999999997</v>
      </c>
      <c r="AN3" s="17">
        <v>63.262520000000002</v>
      </c>
      <c r="AO3" s="17">
        <v>67.034409999999994</v>
      </c>
      <c r="AP3" s="17">
        <v>0.87733720000000004</v>
      </c>
      <c r="AQ3" s="17">
        <v>63.037880000000001</v>
      </c>
      <c r="AR3" s="17">
        <f>AM3-$B3</f>
        <v>-3.6087399999999992E-2</v>
      </c>
      <c r="AS3" s="17">
        <f>AM3-$F3</f>
        <v>-3.4837899999999977E-2</v>
      </c>
      <c r="AT3" s="17"/>
      <c r="AU3" s="19"/>
      <c r="AV3" s="17" t="s">
        <v>9</v>
      </c>
      <c r="AW3" s="17">
        <v>64.786640000000006</v>
      </c>
      <c r="AX3" s="17">
        <v>0.90784229999999999</v>
      </c>
      <c r="AY3" s="17">
        <v>63.185940000000002</v>
      </c>
      <c r="AZ3" s="17">
        <v>68.293109999999999</v>
      </c>
      <c r="BA3" s="17">
        <v>0.8612474</v>
      </c>
      <c r="BB3" s="17">
        <v>62.957120000000003</v>
      </c>
      <c r="BC3" s="17">
        <f>AX3-$B$3</f>
        <v>-5.2157699999999974E-2</v>
      </c>
      <c r="BD3" s="17">
        <f>AX3-$F$3</f>
        <v>-5.0908199999999959E-2</v>
      </c>
      <c r="BE3" s="17"/>
      <c r="BF3" s="19"/>
      <c r="BG3" s="17" t="s">
        <v>9</v>
      </c>
      <c r="BH3" s="17">
        <v>70.650970000000001</v>
      </c>
      <c r="BI3" s="17">
        <v>0.82470100000000002</v>
      </c>
      <c r="BJ3" s="17">
        <v>62.80977</v>
      </c>
      <c r="BK3" s="17">
        <v>74.641220000000004</v>
      </c>
      <c r="BL3" s="17">
        <v>0.7806284</v>
      </c>
      <c r="BM3" s="17">
        <v>62.571249999999999</v>
      </c>
      <c r="BN3" s="17">
        <f>BI3-$B$3</f>
        <v>-0.13529899999999995</v>
      </c>
      <c r="BO3" s="17">
        <f>BI3-$F$3</f>
        <v>-0.13404949999999993</v>
      </c>
      <c r="BP3" s="17"/>
    </row>
    <row r="4" spans="1:68" x14ac:dyDescent="0.3">
      <c r="A4" s="10" t="s">
        <v>10</v>
      </c>
      <c r="B4" s="10">
        <v>0.96</v>
      </c>
      <c r="D4" s="10" t="s">
        <v>10</v>
      </c>
      <c r="E4" s="10">
        <v>61.85772</v>
      </c>
      <c r="F4" s="10">
        <v>0.95852009999999999</v>
      </c>
      <c r="G4" s="10">
        <v>64.385710000000003</v>
      </c>
      <c r="H4" s="10">
        <v>65.606300000000005</v>
      </c>
      <c r="I4" s="10">
        <v>0.90378689999999995</v>
      </c>
      <c r="J4" s="10">
        <v>64.130359999999996</v>
      </c>
      <c r="K4" s="1">
        <f t="shared" ref="K4:K29" si="0">F4-B4</f>
        <v>-1.4798999999999785E-3</v>
      </c>
      <c r="L4" s="7">
        <v>0</v>
      </c>
      <c r="M4" s="7"/>
      <c r="O4" s="10" t="s">
        <v>10</v>
      </c>
      <c r="P4" s="10">
        <v>63.66563</v>
      </c>
      <c r="Q4" s="10">
        <v>0.92878000000000005</v>
      </c>
      <c r="R4" s="10">
        <v>64.2607</v>
      </c>
      <c r="S4" s="10">
        <v>67.543670000000006</v>
      </c>
      <c r="T4" s="10">
        <v>0.87548630000000005</v>
      </c>
      <c r="U4" s="7">
        <v>64.004059999999996</v>
      </c>
      <c r="V4" s="7">
        <f t="shared" ref="V4:V29" si="1">Q4-$B4</f>
        <v>-3.1219999999999914E-2</v>
      </c>
      <c r="W4" s="7">
        <f t="shared" ref="W4:W29" si="2">Q4-$F4</f>
        <v>-2.9740099999999936E-2</v>
      </c>
      <c r="X4" s="7"/>
      <c r="Y4" s="9"/>
      <c r="Z4" s="10" t="s">
        <v>10</v>
      </c>
      <c r="AA4" s="10">
        <v>64.699449999999999</v>
      </c>
      <c r="AB4" s="10">
        <v>0.9157111</v>
      </c>
      <c r="AC4" s="10">
        <v>64.190780000000004</v>
      </c>
      <c r="AD4" s="10">
        <v>68.449839999999995</v>
      </c>
      <c r="AE4" s="10">
        <v>0.86556909999999998</v>
      </c>
      <c r="AF4" s="7">
        <v>63.946210000000001</v>
      </c>
      <c r="AG4" s="7">
        <f t="shared" ref="AG4:AG29" si="3">AB4-$B4</f>
        <v>-4.4288899999999964E-2</v>
      </c>
      <c r="AH4" s="7">
        <f t="shared" ref="AH4:AH29" si="4">AB4-$F4</f>
        <v>-4.2808999999999986E-2</v>
      </c>
      <c r="AI4" s="7"/>
      <c r="AJ4" s="9"/>
      <c r="AK4" s="10" t="s">
        <v>10</v>
      </c>
      <c r="AL4" s="10">
        <v>64.169150000000002</v>
      </c>
      <c r="AM4" s="10">
        <v>0.91628540000000003</v>
      </c>
      <c r="AN4" s="10">
        <v>64.226519999999994</v>
      </c>
      <c r="AO4" s="10">
        <v>67.60718</v>
      </c>
      <c r="AP4" s="10">
        <v>0.86971759999999998</v>
      </c>
      <c r="AQ4" s="10">
        <v>63.999989999999997</v>
      </c>
      <c r="AR4" s="7">
        <f t="shared" ref="AR4:AR29" si="5">AM4-$B4</f>
        <v>-4.3714599999999937E-2</v>
      </c>
      <c r="AS4" s="7">
        <f t="shared" ref="AS4:AS29" si="6">AM4-$F4</f>
        <v>-4.2234699999999958E-2</v>
      </c>
      <c r="AT4" s="7"/>
      <c r="AU4" s="9"/>
      <c r="AV4" s="10" t="s">
        <v>10</v>
      </c>
      <c r="AW4" s="10">
        <v>65.416259999999994</v>
      </c>
      <c r="AX4" s="10">
        <v>0.89890550000000002</v>
      </c>
      <c r="AY4" s="10">
        <v>64.142970000000005</v>
      </c>
      <c r="AZ4" s="10">
        <v>68.99333</v>
      </c>
      <c r="BA4" s="10">
        <v>0.85232770000000002</v>
      </c>
      <c r="BB4" s="7">
        <v>63.911900000000003</v>
      </c>
      <c r="BC4" s="7">
        <f t="shared" ref="BC4:BC29" si="7">AX4-$B$3</f>
        <v>-6.1094499999999941E-2</v>
      </c>
      <c r="BD4" s="7">
        <f t="shared" ref="BD4:BD29" si="8">AX4-$F$3</f>
        <v>-5.9844999999999926E-2</v>
      </c>
      <c r="BE4" s="7"/>
      <c r="BF4" s="9"/>
      <c r="BG4" s="10" t="s">
        <v>10</v>
      </c>
      <c r="BH4" s="10">
        <v>72.579819999999998</v>
      </c>
      <c r="BI4" s="10">
        <v>0.80263039999999997</v>
      </c>
      <c r="BJ4" s="10">
        <v>63.691960000000002</v>
      </c>
      <c r="BK4" s="10">
        <v>76.79871</v>
      </c>
      <c r="BL4" s="10">
        <v>0.75856140000000005</v>
      </c>
      <c r="BM4" s="7">
        <v>63.446719999999999</v>
      </c>
      <c r="BN4" s="7">
        <f t="shared" ref="BN4:BN29" si="9">BI4-$B$3</f>
        <v>-0.1573696</v>
      </c>
      <c r="BO4" s="7">
        <f t="shared" ref="BO4:BO29" si="10">BI4-$F$3</f>
        <v>-0.15612009999999998</v>
      </c>
      <c r="BP4" s="7"/>
    </row>
    <row r="5" spans="1:68" x14ac:dyDescent="0.3">
      <c r="A5" s="10" t="s">
        <v>11</v>
      </c>
      <c r="B5" s="10">
        <v>0.96</v>
      </c>
      <c r="D5" s="10" t="s">
        <v>11</v>
      </c>
      <c r="E5" s="10">
        <v>61.85772</v>
      </c>
      <c r="F5" s="10">
        <v>0.95815110000000003</v>
      </c>
      <c r="G5" s="10">
        <v>65.384050000000002</v>
      </c>
      <c r="H5" s="10">
        <v>65.606300000000005</v>
      </c>
      <c r="I5" s="10">
        <v>0.90345880000000001</v>
      </c>
      <c r="J5" s="10">
        <v>65.128780000000006</v>
      </c>
      <c r="K5" s="1">
        <f t="shared" si="0"/>
        <v>-1.8488999999999312E-3</v>
      </c>
      <c r="L5" s="7">
        <v>0</v>
      </c>
      <c r="M5" s="7"/>
      <c r="O5" s="10" t="s">
        <v>11</v>
      </c>
      <c r="P5" s="10">
        <v>64.009029999999996</v>
      </c>
      <c r="Q5" s="10">
        <v>0.92345770000000005</v>
      </c>
      <c r="R5" s="10">
        <v>65.235730000000004</v>
      </c>
      <c r="S5" s="10">
        <v>67.930660000000003</v>
      </c>
      <c r="T5" s="10">
        <v>0.87019749999999996</v>
      </c>
      <c r="U5" s="7">
        <v>64.977739999999997</v>
      </c>
      <c r="V5" s="7">
        <f t="shared" si="1"/>
        <v>-3.6542299999999917E-2</v>
      </c>
      <c r="W5" s="7">
        <f t="shared" si="2"/>
        <v>-3.4693399999999985E-2</v>
      </c>
      <c r="X5" s="7"/>
      <c r="Y5" s="9"/>
      <c r="Z5" s="10" t="s">
        <v>11</v>
      </c>
      <c r="AA5" s="10">
        <v>65.048450000000003</v>
      </c>
      <c r="AB5" s="10">
        <v>0.91046800000000006</v>
      </c>
      <c r="AC5" s="10">
        <v>65.165840000000003</v>
      </c>
      <c r="AD5" s="10">
        <v>68.841650000000001</v>
      </c>
      <c r="AE5" s="10">
        <v>0.860348</v>
      </c>
      <c r="AF5" s="7">
        <v>64.919939999999997</v>
      </c>
      <c r="AG5" s="7">
        <f t="shared" si="3"/>
        <v>-4.9531999999999909E-2</v>
      </c>
      <c r="AH5" s="7">
        <f t="shared" si="4"/>
        <v>-4.7683099999999978E-2</v>
      </c>
      <c r="AI5" s="7"/>
      <c r="AJ5" s="9"/>
      <c r="AK5" s="10" t="s">
        <v>11</v>
      </c>
      <c r="AL5" s="10">
        <v>64.512990000000002</v>
      </c>
      <c r="AM5" s="10">
        <v>0.91107130000000003</v>
      </c>
      <c r="AN5" s="10">
        <v>65.201740000000001</v>
      </c>
      <c r="AO5" s="10">
        <v>67.989180000000005</v>
      </c>
      <c r="AP5" s="10">
        <v>0.86453349999999995</v>
      </c>
      <c r="AQ5" s="10">
        <v>64.974029999999999</v>
      </c>
      <c r="AR5" s="7">
        <f t="shared" si="5"/>
        <v>-4.8928699999999936E-2</v>
      </c>
      <c r="AS5" s="7">
        <f t="shared" si="6"/>
        <v>-4.7079800000000005E-2</v>
      </c>
      <c r="AT5" s="7"/>
      <c r="AU5" s="9"/>
      <c r="AV5" s="10" t="s">
        <v>11</v>
      </c>
      <c r="AW5" s="10">
        <v>65.929969999999997</v>
      </c>
      <c r="AX5" s="10">
        <v>0.8915862</v>
      </c>
      <c r="AY5" s="10">
        <v>65.107470000000006</v>
      </c>
      <c r="AZ5" s="10">
        <v>69.565730000000002</v>
      </c>
      <c r="BA5" s="10">
        <v>0.84503170000000005</v>
      </c>
      <c r="BB5" s="7">
        <v>64.874570000000006</v>
      </c>
      <c r="BC5" s="7">
        <f t="shared" si="7"/>
        <v>-6.8413799999999969E-2</v>
      </c>
      <c r="BD5" s="7">
        <f t="shared" si="8"/>
        <v>-6.7164299999999955E-2</v>
      </c>
      <c r="BE5" s="7"/>
      <c r="BF5" s="9"/>
      <c r="BG5" s="10" t="s">
        <v>11</v>
      </c>
      <c r="BH5" s="10">
        <v>74.367890000000003</v>
      </c>
      <c r="BI5" s="10">
        <v>0.78309620000000002</v>
      </c>
      <c r="BJ5" s="10">
        <v>64.584959999999995</v>
      </c>
      <c r="BK5" s="10">
        <v>78.808189999999996</v>
      </c>
      <c r="BL5" s="10">
        <v>0.73900980000000005</v>
      </c>
      <c r="BM5" s="7">
        <v>64.333309999999997</v>
      </c>
      <c r="BN5" s="7">
        <f t="shared" si="9"/>
        <v>-0.17690379999999994</v>
      </c>
      <c r="BO5" s="7">
        <f t="shared" si="10"/>
        <v>-0.17565429999999993</v>
      </c>
      <c r="BP5" s="7"/>
    </row>
    <row r="6" spans="1:68" x14ac:dyDescent="0.3">
      <c r="A6" s="10" t="s">
        <v>14</v>
      </c>
      <c r="B6" s="10">
        <v>0.96</v>
      </c>
      <c r="D6" s="10" t="s">
        <v>14</v>
      </c>
      <c r="E6" s="10">
        <v>61.885559999999998</v>
      </c>
      <c r="F6" s="10">
        <v>0.95720079999999996</v>
      </c>
      <c r="G6" s="10">
        <v>66.379739999999998</v>
      </c>
      <c r="H6" s="10">
        <v>65.637690000000006</v>
      </c>
      <c r="I6" s="10">
        <v>0.90256519999999996</v>
      </c>
      <c r="J6" s="10">
        <v>66.124489999999994</v>
      </c>
      <c r="K6" s="1">
        <f t="shared" si="0"/>
        <v>-2.7992000000000017E-3</v>
      </c>
      <c r="L6" s="7">
        <v>0</v>
      </c>
      <c r="M6" s="7"/>
      <c r="O6" s="10" t="s">
        <v>14</v>
      </c>
      <c r="P6" s="10">
        <v>68.055760000000006</v>
      </c>
      <c r="Q6" s="10">
        <v>0.8681719</v>
      </c>
      <c r="R6" s="10">
        <v>65.96763</v>
      </c>
      <c r="S6" s="10">
        <v>72.51182</v>
      </c>
      <c r="T6" s="10">
        <v>0.81489239999999996</v>
      </c>
      <c r="U6" s="7">
        <v>65.692570000000003</v>
      </c>
      <c r="V6" s="7">
        <f t="shared" si="1"/>
        <v>-9.1828099999999968E-2</v>
      </c>
      <c r="W6" s="7">
        <f t="shared" si="2"/>
        <v>-8.9028899999999966E-2</v>
      </c>
      <c r="X6" s="7"/>
      <c r="Y6" s="9"/>
      <c r="Z6" s="10" t="s">
        <v>14</v>
      </c>
      <c r="AA6" s="10">
        <v>81.226299999999995</v>
      </c>
      <c r="AB6" s="10">
        <v>0.72897339999999999</v>
      </c>
      <c r="AC6" s="10">
        <v>65.200310000000002</v>
      </c>
      <c r="AD6" s="10">
        <v>87.253479999999996</v>
      </c>
      <c r="AE6" s="10">
        <v>0.67867509999999998</v>
      </c>
      <c r="AF6" s="7">
        <v>64.88982</v>
      </c>
      <c r="AG6" s="7">
        <f t="shared" si="3"/>
        <v>-0.23102659999999997</v>
      </c>
      <c r="AH6" s="7">
        <f t="shared" si="4"/>
        <v>-0.22822739999999997</v>
      </c>
      <c r="AI6" s="7"/>
      <c r="AJ6" s="9"/>
      <c r="AK6" s="10" t="s">
        <v>14</v>
      </c>
      <c r="AL6" s="10">
        <v>96.863069999999993</v>
      </c>
      <c r="AM6" s="10">
        <v>0.60678730000000003</v>
      </c>
      <c r="AN6" s="10">
        <v>64.436580000000006</v>
      </c>
      <c r="AO6" s="10">
        <v>105.0055</v>
      </c>
      <c r="AP6" s="10">
        <v>0.55977889999999997</v>
      </c>
      <c r="AQ6" s="10">
        <v>64.086380000000005</v>
      </c>
      <c r="AR6" s="7">
        <f t="shared" si="5"/>
        <v>-0.35321269999999994</v>
      </c>
      <c r="AS6" s="7">
        <f t="shared" si="6"/>
        <v>-0.35041349999999993</v>
      </c>
      <c r="AT6" s="7"/>
      <c r="AU6" s="9"/>
      <c r="AV6" s="10" t="s">
        <v>14</v>
      </c>
      <c r="AW6" s="10">
        <v>98.562100000000001</v>
      </c>
      <c r="AX6" s="10">
        <v>0.59638910000000001</v>
      </c>
      <c r="AY6" s="10">
        <v>64.361140000000006</v>
      </c>
      <c r="AZ6" s="10">
        <v>107.008</v>
      </c>
      <c r="BA6" s="10">
        <v>0.54936010000000002</v>
      </c>
      <c r="BB6" s="7">
        <v>64.004409999999993</v>
      </c>
      <c r="BC6" s="7">
        <f t="shared" si="7"/>
        <v>-0.36361089999999996</v>
      </c>
      <c r="BD6" s="7">
        <f t="shared" si="8"/>
        <v>-0.36236139999999994</v>
      </c>
      <c r="BE6" s="7"/>
      <c r="BF6" s="9"/>
      <c r="BG6" s="10" t="s">
        <v>14</v>
      </c>
      <c r="BH6" s="10">
        <v>114.45050000000001</v>
      </c>
      <c r="BI6" s="10">
        <v>0.50884770000000001</v>
      </c>
      <c r="BJ6" s="10">
        <v>63.712690000000002</v>
      </c>
      <c r="BK6" s="10">
        <v>125.4576</v>
      </c>
      <c r="BL6" s="10">
        <v>0.46423829999999999</v>
      </c>
      <c r="BM6" s="7">
        <v>63.314219999999999</v>
      </c>
      <c r="BN6" s="7">
        <f t="shared" si="9"/>
        <v>-0.45115229999999995</v>
      </c>
      <c r="BO6" s="7">
        <f t="shared" si="10"/>
        <v>-0.44990279999999994</v>
      </c>
      <c r="BP6" s="7"/>
    </row>
    <row r="7" spans="1:68" x14ac:dyDescent="0.3">
      <c r="A7" s="10" t="s">
        <v>15</v>
      </c>
      <c r="B7" s="10">
        <v>0.96</v>
      </c>
      <c r="D7" s="10" t="s">
        <v>15</v>
      </c>
      <c r="E7" s="10">
        <v>61.885559999999998</v>
      </c>
      <c r="F7" s="10">
        <v>0.95644589999999996</v>
      </c>
      <c r="G7" s="10">
        <v>67.376310000000004</v>
      </c>
      <c r="H7" s="10">
        <v>65.637690000000006</v>
      </c>
      <c r="I7" s="10">
        <v>0.90189399999999997</v>
      </c>
      <c r="J7" s="10">
        <v>67.121260000000007</v>
      </c>
      <c r="K7" s="1">
        <f t="shared" si="0"/>
        <v>-3.5541000000000045E-3</v>
      </c>
      <c r="L7" s="7">
        <v>0</v>
      </c>
      <c r="M7" s="7"/>
      <c r="O7" s="10" t="s">
        <v>15</v>
      </c>
      <c r="P7" s="10">
        <v>68.055760000000006</v>
      </c>
      <c r="Q7" s="10">
        <v>0.86755079999999996</v>
      </c>
      <c r="R7" s="10">
        <v>66.964519999999993</v>
      </c>
      <c r="S7" s="10">
        <v>72.51182</v>
      </c>
      <c r="T7" s="10">
        <v>0.81434519999999999</v>
      </c>
      <c r="U7" s="7">
        <v>66.68965</v>
      </c>
      <c r="V7" s="7">
        <f t="shared" si="1"/>
        <v>-9.2449200000000009E-2</v>
      </c>
      <c r="W7" s="7">
        <f t="shared" si="2"/>
        <v>-8.8895100000000005E-2</v>
      </c>
      <c r="X7" s="7"/>
      <c r="Y7" s="9"/>
      <c r="Z7" s="10" t="s">
        <v>15</v>
      </c>
      <c r="AA7" s="10">
        <v>81.226299999999995</v>
      </c>
      <c r="AB7" s="10">
        <v>0.72853540000000006</v>
      </c>
      <c r="AC7" s="10">
        <v>66.197699999999998</v>
      </c>
      <c r="AD7" s="10">
        <v>87.253479999999996</v>
      </c>
      <c r="AE7" s="10">
        <v>0.67829539999999999</v>
      </c>
      <c r="AF7" s="7">
        <v>65.887379999999993</v>
      </c>
      <c r="AG7" s="7">
        <f t="shared" si="3"/>
        <v>-0.23146459999999991</v>
      </c>
      <c r="AH7" s="7">
        <f t="shared" si="4"/>
        <v>-0.2279104999999999</v>
      </c>
      <c r="AI7" s="7"/>
      <c r="AJ7" s="9"/>
      <c r="AK7" s="10" t="s">
        <v>15</v>
      </c>
      <c r="AL7" s="10">
        <v>96.863069999999993</v>
      </c>
      <c r="AM7" s="10">
        <v>0.60648380000000002</v>
      </c>
      <c r="AN7" s="10">
        <v>65.434399999999997</v>
      </c>
      <c r="AO7" s="10">
        <v>105.0055</v>
      </c>
      <c r="AP7" s="10">
        <v>0.55952069999999998</v>
      </c>
      <c r="AQ7" s="10">
        <v>65.084370000000007</v>
      </c>
      <c r="AR7" s="7">
        <f t="shared" si="5"/>
        <v>-0.35351619999999995</v>
      </c>
      <c r="AS7" s="7">
        <f t="shared" si="6"/>
        <v>-0.34996209999999994</v>
      </c>
      <c r="AT7" s="7"/>
      <c r="AU7" s="9"/>
      <c r="AV7" s="10" t="s">
        <v>15</v>
      </c>
      <c r="AW7" s="10">
        <v>99.129499999999993</v>
      </c>
      <c r="AX7" s="10">
        <v>0.59268900000000002</v>
      </c>
      <c r="AY7" s="10">
        <v>65.334109999999995</v>
      </c>
      <c r="AZ7" s="10">
        <v>107.678</v>
      </c>
      <c r="BA7" s="10">
        <v>0.54569959999999995</v>
      </c>
      <c r="BB7" s="7">
        <v>64.975369999999998</v>
      </c>
      <c r="BC7" s="7">
        <f t="shared" si="7"/>
        <v>-0.36731099999999994</v>
      </c>
      <c r="BD7" s="7">
        <f t="shared" si="8"/>
        <v>-0.36606149999999993</v>
      </c>
      <c r="BE7" s="7"/>
      <c r="BF7" s="9"/>
      <c r="BG7" s="10" t="s">
        <v>15</v>
      </c>
      <c r="BH7" s="10">
        <v>117.4689</v>
      </c>
      <c r="BI7" s="10">
        <v>0.49558069999999999</v>
      </c>
      <c r="BJ7" s="10">
        <v>64.597949999999997</v>
      </c>
      <c r="BK7" s="10">
        <v>129.10390000000001</v>
      </c>
      <c r="BL7" s="10">
        <v>0.4509686</v>
      </c>
      <c r="BM7" s="7">
        <v>64.188280000000006</v>
      </c>
      <c r="BN7" s="7">
        <f t="shared" si="9"/>
        <v>-0.46441929999999998</v>
      </c>
      <c r="BO7" s="7">
        <f t="shared" si="10"/>
        <v>-0.46316979999999996</v>
      </c>
      <c r="BP7" s="7"/>
    </row>
    <row r="8" spans="1:68" x14ac:dyDescent="0.3">
      <c r="A8" s="10" t="s">
        <v>24</v>
      </c>
      <c r="B8" s="10">
        <v>0.75429000000000002</v>
      </c>
      <c r="D8" s="10" t="s">
        <v>24</v>
      </c>
      <c r="E8" s="10">
        <v>61.885559999999998</v>
      </c>
      <c r="F8" s="10">
        <v>0.95525369999999998</v>
      </c>
      <c r="G8" s="10">
        <v>68.370890000000003</v>
      </c>
      <c r="H8" s="10">
        <v>65.637690000000006</v>
      </c>
      <c r="I8" s="10">
        <v>0.90083369999999996</v>
      </c>
      <c r="J8" s="10">
        <v>68.116150000000005</v>
      </c>
      <c r="K8" s="1">
        <f t="shared" si="0"/>
        <v>0.20096369999999997</v>
      </c>
      <c r="L8" s="7">
        <v>0</v>
      </c>
      <c r="M8" s="7"/>
      <c r="O8" s="10" t="s">
        <v>24</v>
      </c>
      <c r="P8" s="10">
        <v>68.731129999999993</v>
      </c>
      <c r="Q8" s="10">
        <v>0.85808220000000002</v>
      </c>
      <c r="R8" s="10">
        <v>67.916849999999997</v>
      </c>
      <c r="S8" s="10">
        <v>73.280069999999995</v>
      </c>
      <c r="T8" s="10">
        <v>0.80497839999999998</v>
      </c>
      <c r="U8" s="7">
        <v>67.639399999999995</v>
      </c>
      <c r="V8" s="7">
        <f t="shared" si="1"/>
        <v>0.1037922</v>
      </c>
      <c r="W8" s="7">
        <f t="shared" si="2"/>
        <v>-9.7171499999999966E-2</v>
      </c>
      <c r="X8" s="7"/>
      <c r="Y8" s="9"/>
      <c r="Z8" s="10" t="s">
        <v>24</v>
      </c>
      <c r="AA8" s="10">
        <v>84.928139999999999</v>
      </c>
      <c r="AB8" s="10">
        <v>0.69620199999999999</v>
      </c>
      <c r="AC8" s="10">
        <v>67.000550000000004</v>
      </c>
      <c r="AD8" s="10">
        <v>91.550319999999999</v>
      </c>
      <c r="AE8" s="10">
        <v>0.64596640000000005</v>
      </c>
      <c r="AF8" s="7">
        <v>66.675290000000004</v>
      </c>
      <c r="AG8" s="7">
        <f t="shared" si="3"/>
        <v>-5.8088000000000028E-2</v>
      </c>
      <c r="AH8" s="7">
        <f t="shared" si="4"/>
        <v>-0.2590517</v>
      </c>
      <c r="AI8" s="7"/>
      <c r="AJ8" s="9"/>
      <c r="AK8" s="10" t="s">
        <v>24</v>
      </c>
      <c r="AL8" s="10">
        <v>104.6168</v>
      </c>
      <c r="AM8" s="10">
        <v>0.56118539999999995</v>
      </c>
      <c r="AN8" s="10">
        <v>66.097269999999995</v>
      </c>
      <c r="AO8" s="10">
        <v>114.19450000000001</v>
      </c>
      <c r="AP8" s="10">
        <v>0.51420929999999998</v>
      </c>
      <c r="AQ8" s="10">
        <v>65.717609999999993</v>
      </c>
      <c r="AR8" s="7">
        <f t="shared" si="5"/>
        <v>-0.19310460000000007</v>
      </c>
      <c r="AS8" s="7">
        <f t="shared" si="6"/>
        <v>-0.39406830000000004</v>
      </c>
      <c r="AT8" s="7"/>
      <c r="AU8" s="9"/>
      <c r="AV8" s="10" t="s">
        <v>24</v>
      </c>
      <c r="AW8" s="10">
        <v>108.1845</v>
      </c>
      <c r="AX8" s="10">
        <v>0.54276360000000001</v>
      </c>
      <c r="AY8" s="10">
        <v>65.951939999999993</v>
      </c>
      <c r="AZ8" s="10">
        <v>118.47190000000001</v>
      </c>
      <c r="BA8" s="10">
        <v>0.49572159999999998</v>
      </c>
      <c r="BB8" s="7">
        <v>65.558210000000003</v>
      </c>
      <c r="BC8" s="7">
        <f t="shared" si="7"/>
        <v>-0.41723639999999995</v>
      </c>
      <c r="BD8" s="7">
        <f t="shared" si="8"/>
        <v>-0.41598689999999994</v>
      </c>
      <c r="BE8" s="7"/>
      <c r="BF8" s="9"/>
      <c r="BG8" s="10" t="s">
        <v>24</v>
      </c>
      <c r="BH8" s="10">
        <v>133.19290000000001</v>
      </c>
      <c r="BI8" s="10">
        <v>0.43688969999999999</v>
      </c>
      <c r="BJ8" s="10">
        <v>65.050520000000006</v>
      </c>
      <c r="BK8" s="10">
        <v>148.4418</v>
      </c>
      <c r="BL8" s="10">
        <v>0.39207619999999999</v>
      </c>
      <c r="BM8" s="7">
        <v>64.580520000000007</v>
      </c>
      <c r="BN8" s="7">
        <f t="shared" si="9"/>
        <v>-0.52311029999999992</v>
      </c>
      <c r="BO8" s="7">
        <f t="shared" si="10"/>
        <v>-0.52186080000000001</v>
      </c>
      <c r="BP8" s="7"/>
    </row>
    <row r="9" spans="1:68" x14ac:dyDescent="0.3">
      <c r="A9" s="10" t="s">
        <v>16</v>
      </c>
      <c r="B9" s="10">
        <v>0.64614499999999997</v>
      </c>
      <c r="D9" s="10" t="s">
        <v>16</v>
      </c>
      <c r="E9" s="10">
        <v>64.886200000000002</v>
      </c>
      <c r="F9" s="10">
        <v>0.90990420000000005</v>
      </c>
      <c r="G9" s="10">
        <v>69.159670000000006</v>
      </c>
      <c r="H9" s="10">
        <v>69.02704</v>
      </c>
      <c r="I9" s="10">
        <v>0.855572</v>
      </c>
      <c r="J9" s="10">
        <v>68.892269999999996</v>
      </c>
      <c r="K9" s="1">
        <f t="shared" si="0"/>
        <v>0.26375920000000008</v>
      </c>
      <c r="L9" s="7">
        <v>0</v>
      </c>
      <c r="M9" s="7"/>
      <c r="O9" s="10" t="s">
        <v>16</v>
      </c>
      <c r="P9" s="10">
        <v>72.778080000000003</v>
      </c>
      <c r="Q9" s="10">
        <v>0.80946390000000001</v>
      </c>
      <c r="R9" s="10">
        <v>68.663539999999998</v>
      </c>
      <c r="S9" s="10">
        <v>77.906809999999993</v>
      </c>
      <c r="T9" s="10">
        <v>0.75639290000000003</v>
      </c>
      <c r="U9" s="7">
        <v>68.369050000000001</v>
      </c>
      <c r="V9" s="7">
        <f t="shared" si="1"/>
        <v>0.16331890000000004</v>
      </c>
      <c r="W9" s="7">
        <f t="shared" si="2"/>
        <v>-0.10044030000000004</v>
      </c>
      <c r="X9" s="7"/>
      <c r="Y9" s="9"/>
      <c r="Z9" s="10" t="s">
        <v>16</v>
      </c>
      <c r="AA9" s="10">
        <v>95.083370000000002</v>
      </c>
      <c r="AB9" s="10">
        <v>0.62140200000000001</v>
      </c>
      <c r="AC9" s="10">
        <v>67.506929999999997</v>
      </c>
      <c r="AD9" s="10">
        <v>103.5072</v>
      </c>
      <c r="AE9" s="10">
        <v>0.57098519999999997</v>
      </c>
      <c r="AF9" s="7">
        <v>67.139439999999993</v>
      </c>
      <c r="AG9" s="7">
        <f t="shared" si="3"/>
        <v>-2.4742999999999959E-2</v>
      </c>
      <c r="AH9" s="7">
        <f t="shared" si="4"/>
        <v>-0.28850220000000004</v>
      </c>
      <c r="AI9" s="7"/>
      <c r="AJ9" s="9"/>
      <c r="AK9" s="10" t="s">
        <v>16</v>
      </c>
      <c r="AL9" s="10">
        <v>122.9706</v>
      </c>
      <c r="AM9" s="10">
        <v>0.47721350000000001</v>
      </c>
      <c r="AN9" s="10">
        <v>66.393339999999995</v>
      </c>
      <c r="AO9" s="10">
        <v>136.51859999999999</v>
      </c>
      <c r="AP9" s="10">
        <v>0.42996479999999998</v>
      </c>
      <c r="AQ9" s="10">
        <v>65.940539999999999</v>
      </c>
      <c r="AR9" s="7">
        <f t="shared" si="5"/>
        <v>-0.16893149999999996</v>
      </c>
      <c r="AS9" s="7">
        <f t="shared" si="6"/>
        <v>-0.43269070000000004</v>
      </c>
      <c r="AT9" s="7"/>
      <c r="AU9" s="9"/>
      <c r="AV9" s="10" t="s">
        <v>16</v>
      </c>
      <c r="AW9" s="10">
        <v>128.63329999999999</v>
      </c>
      <c r="AX9" s="10">
        <v>0.45629639999999999</v>
      </c>
      <c r="AY9" s="10">
        <v>66.198310000000006</v>
      </c>
      <c r="AZ9" s="10">
        <v>143.56270000000001</v>
      </c>
      <c r="BA9" s="10">
        <v>0.40894979999999997</v>
      </c>
      <c r="BB9" s="7">
        <v>65.722539999999995</v>
      </c>
      <c r="BC9" s="7">
        <f t="shared" si="7"/>
        <v>-0.50370359999999992</v>
      </c>
      <c r="BD9" s="7">
        <f t="shared" si="8"/>
        <v>-0.50245410000000001</v>
      </c>
      <c r="BE9" s="7"/>
      <c r="BF9" s="9"/>
      <c r="BG9" s="10" t="s">
        <v>16</v>
      </c>
      <c r="BH9" s="10">
        <v>164.02889999999999</v>
      </c>
      <c r="BI9" s="10">
        <v>0.35466730000000002</v>
      </c>
      <c r="BJ9" s="10">
        <v>65.145030000000006</v>
      </c>
      <c r="BK9" s="10">
        <v>188.01560000000001</v>
      </c>
      <c r="BL9" s="10">
        <v>0.30949500000000002</v>
      </c>
      <c r="BM9" s="7">
        <v>64.553349999999995</v>
      </c>
      <c r="BN9" s="7">
        <f t="shared" si="9"/>
        <v>-0.60533269999999995</v>
      </c>
      <c r="BO9" s="7">
        <f t="shared" si="10"/>
        <v>-0.60408319999999993</v>
      </c>
      <c r="BP9" s="7"/>
    </row>
    <row r="10" spans="1:68" x14ac:dyDescent="0.3">
      <c r="A10" s="10" t="s">
        <v>17</v>
      </c>
      <c r="B10" s="10">
        <v>0.59955500000000006</v>
      </c>
      <c r="D10" s="10" t="s">
        <v>17</v>
      </c>
      <c r="E10" s="10">
        <v>64.886200000000002</v>
      </c>
      <c r="F10" s="10">
        <v>0.9082422</v>
      </c>
      <c r="G10" s="10">
        <v>70.151719999999997</v>
      </c>
      <c r="H10" s="10">
        <v>69.02704</v>
      </c>
      <c r="I10" s="10">
        <v>0.85410240000000004</v>
      </c>
      <c r="J10" s="10">
        <v>69.884799999999998</v>
      </c>
      <c r="K10" s="1">
        <f t="shared" si="0"/>
        <v>0.30868719999999994</v>
      </c>
      <c r="L10" s="7">
        <v>0</v>
      </c>
      <c r="M10" s="7"/>
      <c r="O10" s="10" t="s">
        <v>17</v>
      </c>
      <c r="P10" s="10">
        <v>73.791420000000002</v>
      </c>
      <c r="Q10" s="10">
        <v>0.79711600000000005</v>
      </c>
      <c r="R10" s="10">
        <v>69.596779999999995</v>
      </c>
      <c r="S10" s="10">
        <v>79.070359999999994</v>
      </c>
      <c r="T10" s="10">
        <v>0.74419159999999995</v>
      </c>
      <c r="U10" s="7">
        <v>69.298410000000004</v>
      </c>
      <c r="V10" s="7">
        <f t="shared" si="1"/>
        <v>0.19756099999999999</v>
      </c>
      <c r="W10" s="7">
        <f t="shared" si="2"/>
        <v>-0.11112619999999995</v>
      </c>
      <c r="X10" s="7"/>
      <c r="Y10" s="9"/>
      <c r="Z10" s="10" t="s">
        <v>17</v>
      </c>
      <c r="AA10" s="10">
        <v>100.6337</v>
      </c>
      <c r="AB10" s="10">
        <v>0.58654539999999999</v>
      </c>
      <c r="AC10" s="10">
        <v>68.256209999999996</v>
      </c>
      <c r="AD10" s="10">
        <v>110.13639999999999</v>
      </c>
      <c r="AE10" s="10">
        <v>0.536138</v>
      </c>
      <c r="AF10" s="7">
        <v>67.865960000000001</v>
      </c>
      <c r="AG10" s="7">
        <f t="shared" si="3"/>
        <v>-1.3009600000000066E-2</v>
      </c>
      <c r="AH10" s="7">
        <f t="shared" si="4"/>
        <v>-0.3216968</v>
      </c>
      <c r="AI10" s="7"/>
      <c r="AJ10" s="9"/>
      <c r="AK10" s="10" t="s">
        <v>17</v>
      </c>
      <c r="AL10" s="10">
        <v>134.6019</v>
      </c>
      <c r="AM10" s="10">
        <v>0.43569099999999999</v>
      </c>
      <c r="AN10" s="10">
        <v>66.997990000000001</v>
      </c>
      <c r="AO10" s="10">
        <v>151.0633</v>
      </c>
      <c r="AP10" s="10">
        <v>0.38835019999999998</v>
      </c>
      <c r="AQ10" s="10">
        <v>66.498440000000002</v>
      </c>
      <c r="AR10" s="7">
        <f t="shared" si="5"/>
        <v>-0.16386400000000007</v>
      </c>
      <c r="AS10" s="7">
        <f t="shared" si="6"/>
        <v>-0.4725512</v>
      </c>
      <c r="AT10" s="7"/>
      <c r="AU10" s="9"/>
      <c r="AV10" s="10" t="s">
        <v>17</v>
      </c>
      <c r="AW10" s="10">
        <v>140.26300000000001</v>
      </c>
      <c r="AX10" s="10">
        <v>0.41819659999999997</v>
      </c>
      <c r="AY10" s="10">
        <v>66.819640000000007</v>
      </c>
      <c r="AZ10" s="10">
        <v>158.26830000000001</v>
      </c>
      <c r="BA10" s="10">
        <v>0.37075130000000001</v>
      </c>
      <c r="BB10" s="7">
        <v>66.296660000000003</v>
      </c>
      <c r="BC10" s="7">
        <f t="shared" si="7"/>
        <v>-0.54180340000000005</v>
      </c>
      <c r="BD10" s="7">
        <f t="shared" si="8"/>
        <v>-0.54055389999999992</v>
      </c>
      <c r="BE10" s="7"/>
      <c r="BF10" s="9"/>
      <c r="BG10" s="10" t="s">
        <v>17</v>
      </c>
      <c r="BH10" s="10">
        <v>177.21209999999999</v>
      </c>
      <c r="BI10" s="10">
        <v>0.32811289999999999</v>
      </c>
      <c r="BJ10" s="10">
        <v>65.807040000000001</v>
      </c>
      <c r="BK10" s="10">
        <v>205.68299999999999</v>
      </c>
      <c r="BL10" s="10">
        <v>0.28279019999999999</v>
      </c>
      <c r="BM10" s="7">
        <v>65.161450000000002</v>
      </c>
      <c r="BN10" s="7">
        <f t="shared" si="9"/>
        <v>-0.63188709999999992</v>
      </c>
      <c r="BO10" s="7">
        <f t="shared" si="10"/>
        <v>-0.63063760000000002</v>
      </c>
      <c r="BP10" s="7"/>
    </row>
    <row r="11" spans="1:68" x14ac:dyDescent="0.3">
      <c r="A11" s="10" t="s">
        <v>18</v>
      </c>
      <c r="B11" s="10">
        <v>0.56536500000000001</v>
      </c>
      <c r="D11" s="10" t="s">
        <v>18</v>
      </c>
      <c r="E11" s="10">
        <v>64.886200000000002</v>
      </c>
      <c r="F11" s="10">
        <v>0.90622440000000004</v>
      </c>
      <c r="G11" s="10">
        <v>71.142060000000001</v>
      </c>
      <c r="H11" s="10">
        <v>69.02704</v>
      </c>
      <c r="I11" s="10">
        <v>0.85231780000000001</v>
      </c>
      <c r="J11" s="10">
        <v>70.875720000000001</v>
      </c>
      <c r="K11" s="1">
        <f t="shared" si="0"/>
        <v>0.34085940000000003</v>
      </c>
      <c r="L11" s="7">
        <v>0</v>
      </c>
      <c r="M11" s="7"/>
      <c r="O11" s="10" t="s">
        <v>18</v>
      </c>
      <c r="P11" s="10">
        <v>74.264089999999996</v>
      </c>
      <c r="Q11" s="10">
        <v>0.79053720000000005</v>
      </c>
      <c r="R11" s="10">
        <v>70.560789999999997</v>
      </c>
      <c r="S11" s="10">
        <v>79.614540000000005</v>
      </c>
      <c r="T11" s="10">
        <v>0.7377958</v>
      </c>
      <c r="U11" s="7">
        <v>70.260930000000002</v>
      </c>
      <c r="V11" s="7">
        <f t="shared" si="1"/>
        <v>0.22517220000000004</v>
      </c>
      <c r="W11" s="7">
        <f t="shared" si="2"/>
        <v>-0.11568719999999999</v>
      </c>
      <c r="X11" s="7"/>
      <c r="Y11" s="9"/>
      <c r="Z11" s="10" t="s">
        <v>18</v>
      </c>
      <c r="AA11" s="10">
        <v>103.2268</v>
      </c>
      <c r="AB11" s="10">
        <v>0.57107289999999999</v>
      </c>
      <c r="AC11" s="10">
        <v>69.140110000000007</v>
      </c>
      <c r="AD11" s="10">
        <v>113.2586</v>
      </c>
      <c r="AE11" s="10">
        <v>0.52074969999999998</v>
      </c>
      <c r="AF11" s="7">
        <v>68.739490000000004</v>
      </c>
      <c r="AG11" s="7">
        <f t="shared" si="3"/>
        <v>5.707899999999988E-3</v>
      </c>
      <c r="AH11" s="7">
        <f t="shared" si="4"/>
        <v>-0.33515150000000005</v>
      </c>
      <c r="AI11" s="7"/>
      <c r="AJ11" s="9"/>
      <c r="AK11" s="10" t="s">
        <v>18</v>
      </c>
      <c r="AL11" s="10">
        <v>140.029</v>
      </c>
      <c r="AM11" s="10">
        <v>0.41842770000000001</v>
      </c>
      <c r="AN11" s="10">
        <v>67.822419999999994</v>
      </c>
      <c r="AO11" s="10">
        <v>157.97550000000001</v>
      </c>
      <c r="AP11" s="10">
        <v>0.37106679999999997</v>
      </c>
      <c r="AQ11" s="10">
        <v>67.300740000000005</v>
      </c>
      <c r="AR11" s="7">
        <f t="shared" si="5"/>
        <v>-0.14693729999999999</v>
      </c>
      <c r="AS11" s="7">
        <f t="shared" si="6"/>
        <v>-0.48779670000000003</v>
      </c>
      <c r="AT11" s="7"/>
      <c r="AU11" s="9"/>
      <c r="AV11" s="10" t="s">
        <v>18</v>
      </c>
      <c r="AW11" s="10">
        <v>145.69300000000001</v>
      </c>
      <c r="AX11" s="10">
        <v>0.4022598</v>
      </c>
      <c r="AY11" s="10">
        <v>67.650899999999993</v>
      </c>
      <c r="AZ11" s="10">
        <v>165.2593</v>
      </c>
      <c r="BA11" s="10">
        <v>0.3547997</v>
      </c>
      <c r="BB11" s="7">
        <v>67.105670000000003</v>
      </c>
      <c r="BC11" s="7">
        <f t="shared" si="7"/>
        <v>-0.55774020000000002</v>
      </c>
      <c r="BD11" s="7">
        <f t="shared" si="8"/>
        <v>-0.55649069999999989</v>
      </c>
      <c r="BE11" s="7"/>
      <c r="BF11" s="9"/>
      <c r="BG11" s="10" t="s">
        <v>18</v>
      </c>
      <c r="BH11" s="10">
        <v>183.36189999999999</v>
      </c>
      <c r="BI11" s="10">
        <v>0.3168878</v>
      </c>
      <c r="BJ11" s="10">
        <v>66.655869999999993</v>
      </c>
      <c r="BK11" s="10">
        <v>214.07910000000001</v>
      </c>
      <c r="BL11" s="10">
        <v>0.27154060000000002</v>
      </c>
      <c r="BM11" s="7">
        <v>65.985159999999993</v>
      </c>
      <c r="BN11" s="7">
        <f t="shared" si="9"/>
        <v>-0.64311220000000002</v>
      </c>
      <c r="BO11" s="7">
        <f t="shared" si="10"/>
        <v>-0.6418626999999999</v>
      </c>
      <c r="BP11" s="7"/>
    </row>
    <row r="12" spans="1:68" x14ac:dyDescent="0.3">
      <c r="A12" s="10" t="s">
        <v>19</v>
      </c>
      <c r="B12" s="10">
        <v>0.559805</v>
      </c>
      <c r="D12" s="10" t="s">
        <v>19</v>
      </c>
      <c r="E12" s="10">
        <v>103.3588</v>
      </c>
      <c r="F12" s="10">
        <v>0.56989259999999997</v>
      </c>
      <c r="G12" s="10">
        <v>70.127629999999996</v>
      </c>
      <c r="H12" s="10">
        <v>114.4448</v>
      </c>
      <c r="I12" s="10">
        <v>0.51504830000000001</v>
      </c>
      <c r="J12" s="10">
        <v>69.688180000000003</v>
      </c>
      <c r="K12" s="1">
        <f t="shared" si="0"/>
        <v>1.0087599999999974E-2</v>
      </c>
      <c r="L12" s="7">
        <v>0</v>
      </c>
      <c r="M12" s="7"/>
      <c r="O12" s="10" t="s">
        <v>19</v>
      </c>
      <c r="P12" s="10">
        <v>112.5089</v>
      </c>
      <c r="Q12" s="10">
        <v>0.52243240000000002</v>
      </c>
      <c r="R12" s="10">
        <v>69.761859999999999</v>
      </c>
      <c r="S12" s="10">
        <v>125.4508</v>
      </c>
      <c r="T12" s="10">
        <v>0.46885650000000001</v>
      </c>
      <c r="U12" s="7">
        <v>69.291960000000003</v>
      </c>
      <c r="V12" s="7">
        <f t="shared" si="1"/>
        <v>-3.7372599999999978E-2</v>
      </c>
      <c r="W12" s="7">
        <f t="shared" si="2"/>
        <v>-4.7460199999999952E-2</v>
      </c>
      <c r="X12" s="7"/>
      <c r="Y12" s="9"/>
      <c r="Z12" s="10" t="s">
        <v>19</v>
      </c>
      <c r="AA12" s="10">
        <v>142.58359999999999</v>
      </c>
      <c r="AB12" s="10">
        <v>0.41360530000000001</v>
      </c>
      <c r="AC12" s="10">
        <v>68.739050000000006</v>
      </c>
      <c r="AD12" s="10">
        <v>162.75139999999999</v>
      </c>
      <c r="AE12" s="10">
        <v>0.3625873</v>
      </c>
      <c r="AF12" s="7">
        <v>68.167310000000001</v>
      </c>
      <c r="AG12" s="7">
        <f t="shared" si="3"/>
        <v>-0.14619969999999999</v>
      </c>
      <c r="AH12" s="7">
        <f t="shared" si="4"/>
        <v>-0.15628729999999996</v>
      </c>
      <c r="AI12" s="7"/>
      <c r="AJ12" s="9"/>
      <c r="AK12" s="10" t="s">
        <v>19</v>
      </c>
      <c r="AL12" s="10">
        <v>180.2569</v>
      </c>
      <c r="AM12" s="10">
        <v>0.32505060000000002</v>
      </c>
      <c r="AN12" s="10">
        <v>67.725719999999995</v>
      </c>
      <c r="AO12" s="10">
        <v>211.61259999999999</v>
      </c>
      <c r="AP12" s="10">
        <v>0.277055</v>
      </c>
      <c r="AQ12" s="10">
        <v>67.031869999999998</v>
      </c>
      <c r="AR12" s="7">
        <f t="shared" si="5"/>
        <v>-0.23475439999999997</v>
      </c>
      <c r="AS12" s="7">
        <f t="shared" si="6"/>
        <v>-0.24484199999999995</v>
      </c>
      <c r="AT12" s="7"/>
      <c r="AU12" s="9"/>
      <c r="AV12" s="10" t="s">
        <v>19</v>
      </c>
      <c r="AW12" s="10">
        <v>185.9177</v>
      </c>
      <c r="AX12" s="10">
        <v>0.3152199</v>
      </c>
      <c r="AY12" s="10">
        <v>67.591970000000003</v>
      </c>
      <c r="AZ12" s="10">
        <v>219.54069999999999</v>
      </c>
      <c r="BA12" s="10">
        <v>0.26710660000000003</v>
      </c>
      <c r="BB12" s="7">
        <v>66.872680000000003</v>
      </c>
      <c r="BC12" s="7">
        <f t="shared" si="7"/>
        <v>-0.64478009999999997</v>
      </c>
      <c r="BD12" s="7">
        <f t="shared" si="8"/>
        <v>-0.64353059999999995</v>
      </c>
      <c r="BE12" s="7"/>
      <c r="BF12" s="9"/>
      <c r="BG12" s="10" t="s">
        <v>19</v>
      </c>
      <c r="BH12" s="10">
        <v>223.18260000000001</v>
      </c>
      <c r="BI12" s="10">
        <v>0.26030330000000002</v>
      </c>
      <c r="BJ12" s="10">
        <v>66.801609999999997</v>
      </c>
      <c r="BK12" s="10">
        <v>271.21010000000001</v>
      </c>
      <c r="BL12" s="10">
        <v>0.2143322</v>
      </c>
      <c r="BM12" s="7">
        <v>65.957679999999996</v>
      </c>
      <c r="BN12" s="7">
        <f t="shared" si="9"/>
        <v>-0.69969669999999995</v>
      </c>
      <c r="BO12" s="7">
        <f t="shared" si="10"/>
        <v>-0.69844719999999993</v>
      </c>
      <c r="BP12" s="7"/>
    </row>
    <row r="13" spans="1:68" x14ac:dyDescent="0.3">
      <c r="A13" s="10" t="s">
        <v>20</v>
      </c>
      <c r="B13" s="10">
        <v>0.6475200000000001</v>
      </c>
      <c r="D13" s="10" t="s">
        <v>20</v>
      </c>
      <c r="E13" s="10">
        <v>103.3588</v>
      </c>
      <c r="F13" s="10">
        <v>0.56899619999999995</v>
      </c>
      <c r="G13" s="10">
        <v>71.120800000000003</v>
      </c>
      <c r="H13" s="10">
        <v>114.4448</v>
      </c>
      <c r="I13" s="10">
        <v>0.514316</v>
      </c>
      <c r="J13" s="10">
        <v>70.682010000000005</v>
      </c>
      <c r="K13" s="1">
        <f t="shared" si="0"/>
        <v>-7.8523800000000143E-2</v>
      </c>
      <c r="L13" s="7">
        <v>0</v>
      </c>
      <c r="M13" s="7"/>
      <c r="O13" s="10" t="s">
        <v>20</v>
      </c>
      <c r="P13" s="10">
        <v>112.8468</v>
      </c>
      <c r="Q13" s="10">
        <v>0.52012959999999997</v>
      </c>
      <c r="R13" s="10">
        <v>70.742679999999993</v>
      </c>
      <c r="S13" s="10">
        <v>125.87260000000001</v>
      </c>
      <c r="T13" s="10">
        <v>0.46669149999999998</v>
      </c>
      <c r="U13" s="7">
        <v>70.271870000000007</v>
      </c>
      <c r="V13" s="7">
        <f t="shared" si="1"/>
        <v>-0.12739040000000013</v>
      </c>
      <c r="W13" s="7">
        <f t="shared" si="2"/>
        <v>-4.8866599999999982E-2</v>
      </c>
      <c r="X13" s="7"/>
      <c r="Y13" s="9"/>
      <c r="Z13" s="10" t="s">
        <v>20</v>
      </c>
      <c r="AA13" s="10">
        <v>144.42850000000001</v>
      </c>
      <c r="AB13" s="10">
        <v>0.4078888</v>
      </c>
      <c r="AC13" s="10">
        <v>69.678610000000006</v>
      </c>
      <c r="AD13" s="10">
        <v>165.18790000000001</v>
      </c>
      <c r="AE13" s="10">
        <v>0.35691099999999998</v>
      </c>
      <c r="AF13" s="7">
        <v>69.098789999999994</v>
      </c>
      <c r="AG13" s="7">
        <f t="shared" si="3"/>
        <v>-0.2396312000000001</v>
      </c>
      <c r="AH13" s="7">
        <f t="shared" si="4"/>
        <v>-0.16110739999999996</v>
      </c>
      <c r="AI13" s="7"/>
      <c r="AJ13" s="9"/>
      <c r="AK13" s="10" t="s">
        <v>20</v>
      </c>
      <c r="AL13" s="10">
        <v>184.12899999999999</v>
      </c>
      <c r="AM13" s="10">
        <v>0.31796269999999999</v>
      </c>
      <c r="AN13" s="10">
        <v>68.62997</v>
      </c>
      <c r="AO13" s="10">
        <v>217.01300000000001</v>
      </c>
      <c r="AP13" s="10">
        <v>0.26998230000000001</v>
      </c>
      <c r="AQ13" s="10">
        <v>67.919560000000004</v>
      </c>
      <c r="AR13" s="7">
        <f t="shared" si="5"/>
        <v>-0.32955730000000011</v>
      </c>
      <c r="AS13" s="7">
        <f t="shared" si="6"/>
        <v>-0.25103349999999997</v>
      </c>
      <c r="AT13" s="7"/>
      <c r="AU13" s="9"/>
      <c r="AV13" s="10" t="s">
        <v>20</v>
      </c>
      <c r="AW13" s="10">
        <v>184.12899999999999</v>
      </c>
      <c r="AX13" s="10">
        <v>0.31798999999999999</v>
      </c>
      <c r="AY13" s="10">
        <v>68.62997</v>
      </c>
      <c r="AZ13" s="10">
        <v>217.01310000000001</v>
      </c>
      <c r="BA13" s="10">
        <v>0.27000540000000001</v>
      </c>
      <c r="BB13" s="7">
        <v>67.919560000000004</v>
      </c>
      <c r="BC13" s="7">
        <f t="shared" si="7"/>
        <v>-0.64200999999999997</v>
      </c>
      <c r="BD13" s="7">
        <f t="shared" si="8"/>
        <v>-0.64076049999999996</v>
      </c>
      <c r="BE13" s="7"/>
      <c r="BF13" s="9"/>
      <c r="BG13" s="10" t="s">
        <v>20</v>
      </c>
      <c r="BH13" s="10">
        <v>197.41329999999999</v>
      </c>
      <c r="BI13" s="10">
        <v>0.29391659999999997</v>
      </c>
      <c r="BJ13" s="10">
        <v>68.329049999999995</v>
      </c>
      <c r="BK13" s="10">
        <v>233.69110000000001</v>
      </c>
      <c r="BL13" s="10">
        <v>0.2484642</v>
      </c>
      <c r="BM13" s="7">
        <v>67.599450000000004</v>
      </c>
      <c r="BN13" s="7">
        <f t="shared" si="9"/>
        <v>-0.66608339999999999</v>
      </c>
      <c r="BO13" s="7">
        <f t="shared" si="10"/>
        <v>-0.66483389999999998</v>
      </c>
      <c r="BP13" s="7"/>
    </row>
    <row r="14" spans="1:68" x14ac:dyDescent="0.3">
      <c r="A14" s="10" t="s">
        <v>21</v>
      </c>
      <c r="B14" s="10">
        <v>0.6769750000000001</v>
      </c>
      <c r="D14" s="10" t="s">
        <v>21</v>
      </c>
      <c r="E14" s="10">
        <v>103.3588</v>
      </c>
      <c r="F14" s="10">
        <v>0.56801040000000003</v>
      </c>
      <c r="G14" s="10">
        <v>72.11327</v>
      </c>
      <c r="H14" s="10">
        <v>114.4448</v>
      </c>
      <c r="I14" s="10">
        <v>0.51351040000000003</v>
      </c>
      <c r="J14" s="10">
        <v>71.675200000000004</v>
      </c>
      <c r="K14" s="1">
        <f t="shared" si="0"/>
        <v>-0.10896460000000008</v>
      </c>
      <c r="L14" s="7">
        <v>0</v>
      </c>
      <c r="M14" s="7"/>
      <c r="O14" s="10" t="s">
        <v>21</v>
      </c>
      <c r="P14" s="10">
        <v>112.8468</v>
      </c>
      <c r="Q14" s="10">
        <v>0.51930569999999998</v>
      </c>
      <c r="R14" s="10">
        <v>71.735799999999998</v>
      </c>
      <c r="S14" s="10">
        <v>125.87260000000001</v>
      </c>
      <c r="T14" s="10">
        <v>0.4660282</v>
      </c>
      <c r="U14" s="7">
        <v>71.265690000000006</v>
      </c>
      <c r="V14" s="7">
        <f t="shared" si="1"/>
        <v>-0.15766930000000012</v>
      </c>
      <c r="W14" s="7">
        <f t="shared" si="2"/>
        <v>-4.8704700000000045E-2</v>
      </c>
      <c r="X14" s="7"/>
      <c r="Y14" s="9"/>
      <c r="Z14" s="10" t="s">
        <v>21</v>
      </c>
      <c r="AA14" s="10">
        <v>144.42850000000001</v>
      </c>
      <c r="AB14" s="10">
        <v>0.40738200000000002</v>
      </c>
      <c r="AC14" s="10">
        <v>70.673220000000001</v>
      </c>
      <c r="AD14" s="10">
        <v>165.18790000000001</v>
      </c>
      <c r="AE14" s="10">
        <v>0.35652289999999998</v>
      </c>
      <c r="AF14" s="7">
        <v>70.094070000000002</v>
      </c>
      <c r="AG14" s="7">
        <f t="shared" si="3"/>
        <v>-0.26959300000000008</v>
      </c>
      <c r="AH14" s="7">
        <f t="shared" si="4"/>
        <v>-0.1606284</v>
      </c>
      <c r="AI14" s="7"/>
      <c r="AJ14" s="9"/>
      <c r="AK14" s="10" t="s">
        <v>21</v>
      </c>
      <c r="AL14" s="10">
        <v>184.12899999999999</v>
      </c>
      <c r="AM14" s="10">
        <v>0.31765470000000001</v>
      </c>
      <c r="AN14" s="10">
        <v>69.625770000000003</v>
      </c>
      <c r="AO14" s="10">
        <v>217.01300000000001</v>
      </c>
      <c r="AP14" s="10">
        <v>0.2697601</v>
      </c>
      <c r="AQ14" s="10">
        <v>68.915989999999994</v>
      </c>
      <c r="AR14" s="7">
        <f t="shared" si="5"/>
        <v>-0.35932030000000009</v>
      </c>
      <c r="AS14" s="7">
        <f t="shared" si="6"/>
        <v>-0.25035570000000001</v>
      </c>
      <c r="AT14" s="7"/>
      <c r="AU14" s="9"/>
      <c r="AV14" s="10" t="s">
        <v>21</v>
      </c>
      <c r="AW14" s="10">
        <v>189.79130000000001</v>
      </c>
      <c r="AX14" s="10">
        <v>0.30825799999999998</v>
      </c>
      <c r="AY14" s="10">
        <v>69.494990000000001</v>
      </c>
      <c r="AZ14" s="10">
        <v>225.00489999999999</v>
      </c>
      <c r="BA14" s="10">
        <v>0.26024700000000001</v>
      </c>
      <c r="BB14" s="7">
        <v>68.759699999999995</v>
      </c>
      <c r="BC14" s="7">
        <f t="shared" si="7"/>
        <v>-0.65174200000000004</v>
      </c>
      <c r="BD14" s="7">
        <f t="shared" si="8"/>
        <v>-0.65049249999999992</v>
      </c>
      <c r="BE14" s="7"/>
      <c r="BF14" s="9"/>
      <c r="BG14" s="10" t="s">
        <v>21</v>
      </c>
      <c r="BH14" s="10">
        <v>227.5814</v>
      </c>
      <c r="BI14" s="10">
        <v>0.25491000000000003</v>
      </c>
      <c r="BJ14" s="10">
        <v>68.710679999999996</v>
      </c>
      <c r="BK14" s="10">
        <v>277.82659999999998</v>
      </c>
      <c r="BL14" s="10">
        <v>0.20898710000000001</v>
      </c>
      <c r="BM14" s="7">
        <v>67.848010000000002</v>
      </c>
      <c r="BN14" s="7">
        <f t="shared" si="9"/>
        <v>-0.70508999999999999</v>
      </c>
      <c r="BO14" s="7">
        <f t="shared" si="10"/>
        <v>-0.70384049999999987</v>
      </c>
      <c r="BP14" s="7"/>
    </row>
    <row r="15" spans="1:68" x14ac:dyDescent="0.3">
      <c r="A15" s="10" t="s">
        <v>22</v>
      </c>
      <c r="B15" s="10">
        <v>0.69895499999999999</v>
      </c>
      <c r="D15" s="10" t="s">
        <v>22</v>
      </c>
      <c r="E15" s="10">
        <v>86.461920000000006</v>
      </c>
      <c r="F15" s="10">
        <v>0.67597039999999997</v>
      </c>
      <c r="G15" s="10">
        <v>73.868979999999993</v>
      </c>
      <c r="H15" s="10">
        <v>94.035790000000006</v>
      </c>
      <c r="I15" s="10">
        <v>0.6222742</v>
      </c>
      <c r="J15" s="10">
        <v>73.509519999999995</v>
      </c>
      <c r="K15" s="1">
        <f t="shared" si="0"/>
        <v>-2.2984600000000022E-2</v>
      </c>
      <c r="L15" s="7">
        <v>0</v>
      </c>
      <c r="M15" s="7"/>
      <c r="O15" s="10" t="s">
        <v>22</v>
      </c>
      <c r="P15" s="10">
        <v>95.943110000000004</v>
      </c>
      <c r="Q15" s="10">
        <v>0.60842870000000004</v>
      </c>
      <c r="R15" s="10">
        <v>73.423659999999998</v>
      </c>
      <c r="S15" s="10">
        <v>105.13890000000001</v>
      </c>
      <c r="T15" s="10">
        <v>0.55586650000000004</v>
      </c>
      <c r="U15" s="7">
        <v>73.031270000000006</v>
      </c>
      <c r="V15" s="7">
        <f t="shared" si="1"/>
        <v>-9.0526299999999948E-2</v>
      </c>
      <c r="W15" s="7">
        <f t="shared" si="2"/>
        <v>-6.7541699999999927E-2</v>
      </c>
      <c r="X15" s="7"/>
      <c r="Y15" s="9"/>
      <c r="Z15" s="10" t="s">
        <v>22</v>
      </c>
      <c r="AA15" s="10">
        <v>127.2533</v>
      </c>
      <c r="AB15" s="10">
        <v>0.46112720000000001</v>
      </c>
      <c r="AC15" s="10">
        <v>72.211399999999998</v>
      </c>
      <c r="AD15" s="10">
        <v>142.98740000000001</v>
      </c>
      <c r="AE15" s="10">
        <v>0.41084609999999999</v>
      </c>
      <c r="AF15" s="7">
        <v>71.709980000000002</v>
      </c>
      <c r="AG15" s="7">
        <f t="shared" si="3"/>
        <v>-0.23782779999999998</v>
      </c>
      <c r="AH15" s="7">
        <f t="shared" si="4"/>
        <v>-0.21484319999999996</v>
      </c>
      <c r="AI15" s="7"/>
      <c r="AJ15" s="9"/>
      <c r="AK15" s="10" t="s">
        <v>22</v>
      </c>
      <c r="AL15" s="10">
        <v>167.00460000000001</v>
      </c>
      <c r="AM15" s="10">
        <v>0.349574</v>
      </c>
      <c r="AN15" s="10">
        <v>71.041600000000003</v>
      </c>
      <c r="AO15" s="10">
        <v>193.4401</v>
      </c>
      <c r="AP15" s="10">
        <v>0.3021199</v>
      </c>
      <c r="AQ15" s="10">
        <v>70.408000000000001</v>
      </c>
      <c r="AR15" s="7">
        <f t="shared" si="5"/>
        <v>-0.349381</v>
      </c>
      <c r="AS15" s="7">
        <f t="shared" si="6"/>
        <v>-0.32639639999999998</v>
      </c>
      <c r="AT15" s="7"/>
      <c r="AU15" s="9"/>
      <c r="AV15" s="10" t="s">
        <v>22</v>
      </c>
      <c r="AW15" s="10">
        <v>172.6652</v>
      </c>
      <c r="AX15" s="10">
        <v>0.33822809999999998</v>
      </c>
      <c r="AY15" s="10">
        <v>70.897930000000002</v>
      </c>
      <c r="AZ15" s="10">
        <v>201.14189999999999</v>
      </c>
      <c r="BA15" s="10">
        <v>0.29065069999999998</v>
      </c>
      <c r="BB15" s="7">
        <v>70.239549999999994</v>
      </c>
      <c r="BC15" s="7">
        <f t="shared" si="7"/>
        <v>-0.62177189999999993</v>
      </c>
      <c r="BD15" s="7">
        <f t="shared" si="8"/>
        <v>-0.62052240000000003</v>
      </c>
      <c r="BE15" s="7"/>
      <c r="BF15" s="9"/>
      <c r="BG15" s="10" t="s">
        <v>22</v>
      </c>
      <c r="BH15" s="10">
        <v>210.61750000000001</v>
      </c>
      <c r="BI15" s="10">
        <v>0.27506330000000001</v>
      </c>
      <c r="BJ15" s="10">
        <v>70.041139999999999</v>
      </c>
      <c r="BK15" s="10">
        <v>252.6661</v>
      </c>
      <c r="BL15" s="10">
        <v>0.22951940000000001</v>
      </c>
      <c r="BM15" s="7">
        <v>69.254999999999995</v>
      </c>
      <c r="BN15" s="7">
        <f t="shared" si="9"/>
        <v>-0.68493669999999995</v>
      </c>
      <c r="BO15" s="7">
        <f t="shared" si="10"/>
        <v>-0.68368719999999994</v>
      </c>
      <c r="BP15" s="7"/>
    </row>
    <row r="16" spans="1:68" x14ac:dyDescent="0.3">
      <c r="A16" s="10" t="s">
        <v>12</v>
      </c>
      <c r="B16" s="10">
        <v>0.70206999999999997</v>
      </c>
      <c r="D16" s="10" t="s">
        <v>12</v>
      </c>
      <c r="E16" s="10">
        <v>86.461920000000006</v>
      </c>
      <c r="F16" s="10">
        <v>0.67401920000000004</v>
      </c>
      <c r="G16" s="10">
        <v>74.856430000000003</v>
      </c>
      <c r="H16" s="10">
        <v>94.035790000000006</v>
      </c>
      <c r="I16" s="10">
        <v>0.62062030000000001</v>
      </c>
      <c r="J16" s="10">
        <v>74.497969999999995</v>
      </c>
      <c r="K16" s="1">
        <f t="shared" si="0"/>
        <v>-2.8050799999999931E-2</v>
      </c>
      <c r="L16" s="7">
        <v>0</v>
      </c>
      <c r="M16" s="7"/>
      <c r="O16" s="10" t="s">
        <v>12</v>
      </c>
      <c r="P16" s="10">
        <v>95.807839999999999</v>
      </c>
      <c r="Q16" s="10">
        <v>0.60769050000000002</v>
      </c>
      <c r="R16" s="10">
        <v>74.418400000000005</v>
      </c>
      <c r="S16" s="10">
        <v>104.97620000000001</v>
      </c>
      <c r="T16" s="10">
        <v>0.55539360000000004</v>
      </c>
      <c r="U16" s="7">
        <v>74.027569999999997</v>
      </c>
      <c r="V16" s="7">
        <f t="shared" si="1"/>
        <v>-9.437949999999995E-2</v>
      </c>
      <c r="W16" s="7">
        <f t="shared" si="2"/>
        <v>-6.6328700000000018E-2</v>
      </c>
      <c r="X16" s="7"/>
      <c r="Y16" s="9"/>
      <c r="Z16" s="10" t="s">
        <v>12</v>
      </c>
      <c r="AA16" s="10">
        <v>126.515</v>
      </c>
      <c r="AB16" s="10">
        <v>0.46287129999999999</v>
      </c>
      <c r="AC16" s="10">
        <v>73.227800000000002</v>
      </c>
      <c r="AD16" s="10">
        <v>142.05000000000001</v>
      </c>
      <c r="AE16" s="10">
        <v>0.41280119999999998</v>
      </c>
      <c r="AF16" s="7">
        <v>72.730609999999999</v>
      </c>
      <c r="AG16" s="7">
        <f t="shared" si="3"/>
        <v>-0.23919869999999999</v>
      </c>
      <c r="AH16" s="7">
        <f t="shared" si="4"/>
        <v>-0.21114790000000005</v>
      </c>
      <c r="AI16" s="7"/>
      <c r="AJ16" s="9"/>
      <c r="AK16" s="10" t="s">
        <v>12</v>
      </c>
      <c r="AL16" s="10">
        <v>165.45930000000001</v>
      </c>
      <c r="AM16" s="10">
        <v>0.35228110000000001</v>
      </c>
      <c r="AN16" s="10">
        <v>72.075109999999995</v>
      </c>
      <c r="AO16" s="10">
        <v>191.35839999999999</v>
      </c>
      <c r="AP16" s="10">
        <v>0.30498550000000002</v>
      </c>
      <c r="AQ16" s="10">
        <v>71.449010000000001</v>
      </c>
      <c r="AR16" s="7">
        <f t="shared" si="5"/>
        <v>-0.34978889999999996</v>
      </c>
      <c r="AS16" s="7">
        <f t="shared" si="6"/>
        <v>-0.32173810000000003</v>
      </c>
      <c r="AT16" s="7"/>
      <c r="AU16" s="9"/>
      <c r="AV16" s="10" t="s">
        <v>12</v>
      </c>
      <c r="AW16" s="10">
        <v>171.11869999999999</v>
      </c>
      <c r="AX16" s="10">
        <v>0.34076380000000001</v>
      </c>
      <c r="AY16" s="10">
        <v>71.930369999999996</v>
      </c>
      <c r="AZ16" s="10">
        <v>199.0326</v>
      </c>
      <c r="BA16" s="10">
        <v>0.29334199999999999</v>
      </c>
      <c r="BB16" s="7">
        <v>71.279589999999999</v>
      </c>
      <c r="BC16" s="7">
        <f t="shared" si="7"/>
        <v>-0.61923620000000001</v>
      </c>
      <c r="BD16" s="7">
        <f t="shared" si="8"/>
        <v>-0.61798669999999989</v>
      </c>
      <c r="BE16" s="7"/>
      <c r="BF16" s="9"/>
      <c r="BG16" s="10" t="s">
        <v>12</v>
      </c>
      <c r="BH16" s="10">
        <v>208.84209999999999</v>
      </c>
      <c r="BI16" s="10">
        <v>0.27705819999999998</v>
      </c>
      <c r="BJ16" s="10">
        <v>71.07253</v>
      </c>
      <c r="BK16" s="10">
        <v>250.10149999999999</v>
      </c>
      <c r="BL16" s="10">
        <v>0.2316309</v>
      </c>
      <c r="BM16" s="7">
        <v>70.294780000000003</v>
      </c>
      <c r="BN16" s="7">
        <f t="shared" si="9"/>
        <v>-0.68294180000000004</v>
      </c>
      <c r="BO16" s="7">
        <f t="shared" si="10"/>
        <v>-0.68169229999999992</v>
      </c>
      <c r="BP16" s="7"/>
    </row>
    <row r="17" spans="1:68" x14ac:dyDescent="0.3">
      <c r="A17" s="10" t="s">
        <v>13</v>
      </c>
      <c r="B17" s="10">
        <v>0.72611999999999999</v>
      </c>
      <c r="D17" s="10" t="s">
        <v>13</v>
      </c>
      <c r="E17" s="10">
        <v>86.461920000000006</v>
      </c>
      <c r="F17" s="10">
        <v>0.67134210000000005</v>
      </c>
      <c r="G17" s="10">
        <v>75.83914</v>
      </c>
      <c r="H17" s="10">
        <v>94.035790000000006</v>
      </c>
      <c r="I17" s="10">
        <v>0.61834979999999995</v>
      </c>
      <c r="J17" s="10">
        <v>75.482039999999998</v>
      </c>
      <c r="K17" s="1">
        <f t="shared" si="0"/>
        <v>-5.4777899999999935E-2</v>
      </c>
      <c r="L17" s="7">
        <v>0</v>
      </c>
      <c r="M17" s="7"/>
      <c r="O17" s="10" t="s">
        <v>13</v>
      </c>
      <c r="P17" s="10">
        <v>95.807839999999999</v>
      </c>
      <c r="Q17" s="10">
        <v>0.60551350000000004</v>
      </c>
      <c r="R17" s="10">
        <v>75.402799999999999</v>
      </c>
      <c r="S17" s="10">
        <v>104.97620000000001</v>
      </c>
      <c r="T17" s="10">
        <v>0.55357460000000003</v>
      </c>
      <c r="U17" s="7">
        <v>75.013319999999993</v>
      </c>
      <c r="V17" s="7">
        <f t="shared" si="1"/>
        <v>-0.12060649999999995</v>
      </c>
      <c r="W17" s="7">
        <f t="shared" si="2"/>
        <v>-6.5828600000000015E-2</v>
      </c>
      <c r="X17" s="7"/>
      <c r="Y17" s="9"/>
      <c r="Z17" s="10" t="s">
        <v>13</v>
      </c>
      <c r="AA17" s="10">
        <v>126.515</v>
      </c>
      <c r="AB17" s="10">
        <v>0.4616072</v>
      </c>
      <c r="AC17" s="10">
        <v>74.215919999999997</v>
      </c>
      <c r="AD17" s="10">
        <v>142.05000000000001</v>
      </c>
      <c r="AE17" s="10">
        <v>0.41179549999999998</v>
      </c>
      <c r="AF17" s="7">
        <v>73.720010000000002</v>
      </c>
      <c r="AG17" s="7">
        <f t="shared" si="3"/>
        <v>-0.26451279999999999</v>
      </c>
      <c r="AH17" s="7">
        <f t="shared" si="4"/>
        <v>-0.20973490000000006</v>
      </c>
      <c r="AI17" s="7"/>
      <c r="AJ17" s="9"/>
      <c r="AK17" s="10" t="s">
        <v>13</v>
      </c>
      <c r="AL17" s="10">
        <v>165.45930000000001</v>
      </c>
      <c r="AM17" s="10">
        <v>0.35154839999999998</v>
      </c>
      <c r="AN17" s="10">
        <v>73.066059999999993</v>
      </c>
      <c r="AO17" s="10">
        <v>191.35839999999999</v>
      </c>
      <c r="AP17" s="10">
        <v>0.30443619999999999</v>
      </c>
      <c r="AQ17" s="10">
        <v>72.44117</v>
      </c>
      <c r="AR17" s="7">
        <f t="shared" si="5"/>
        <v>-0.3745716</v>
      </c>
      <c r="AS17" s="7">
        <f t="shared" si="6"/>
        <v>-0.31979370000000007</v>
      </c>
      <c r="AT17" s="7"/>
      <c r="AU17" s="9"/>
      <c r="AV17" s="10" t="s">
        <v>13</v>
      </c>
      <c r="AW17" s="10">
        <v>171.11869999999999</v>
      </c>
      <c r="AX17" s="10">
        <v>0.3400782</v>
      </c>
      <c r="AY17" s="10">
        <v>72.921620000000004</v>
      </c>
      <c r="AZ17" s="10">
        <v>199.0326</v>
      </c>
      <c r="BA17" s="10">
        <v>0.29283379999999998</v>
      </c>
      <c r="BB17" s="7">
        <v>72.272040000000004</v>
      </c>
      <c r="BC17" s="7">
        <f t="shared" si="7"/>
        <v>-0.61992179999999997</v>
      </c>
      <c r="BD17" s="7">
        <f t="shared" si="8"/>
        <v>-0.61867229999999995</v>
      </c>
      <c r="BE17" s="7"/>
      <c r="BF17" s="9"/>
      <c r="BG17" s="10" t="s">
        <v>13</v>
      </c>
      <c r="BH17" s="10">
        <v>208.84209999999999</v>
      </c>
      <c r="BI17" s="10">
        <v>0.27660479999999998</v>
      </c>
      <c r="BJ17" s="10">
        <v>72.06541</v>
      </c>
      <c r="BK17" s="10">
        <v>250.10149999999999</v>
      </c>
      <c r="BL17" s="10">
        <v>0.23131389999999999</v>
      </c>
      <c r="BM17" s="7">
        <v>71.288830000000004</v>
      </c>
      <c r="BN17" s="7">
        <f t="shared" si="9"/>
        <v>-0.68339519999999998</v>
      </c>
      <c r="BO17" s="7">
        <f t="shared" si="10"/>
        <v>-0.68214569999999997</v>
      </c>
      <c r="BP17" s="7"/>
    </row>
    <row r="18" spans="1:68" x14ac:dyDescent="0.3">
      <c r="A18" s="10" t="s">
        <v>25</v>
      </c>
      <c r="B18" s="10">
        <v>0.73229</v>
      </c>
      <c r="D18" s="10" t="s">
        <v>25</v>
      </c>
      <c r="E18" s="10">
        <v>88.237780000000001</v>
      </c>
      <c r="F18" s="10">
        <v>0.65388749999999995</v>
      </c>
      <c r="G18" s="10">
        <v>76.724729999999994</v>
      </c>
      <c r="H18" s="10">
        <v>96.144990000000007</v>
      </c>
      <c r="I18" s="10">
        <v>0.60147209999999995</v>
      </c>
      <c r="J18" s="10">
        <v>76.361859999999993</v>
      </c>
      <c r="K18" s="1">
        <f t="shared" si="0"/>
        <v>-7.8402500000000042E-2</v>
      </c>
      <c r="L18" s="7">
        <v>0</v>
      </c>
      <c r="M18" s="7"/>
      <c r="O18" s="10" t="s">
        <v>25</v>
      </c>
      <c r="P18" s="10">
        <v>97.537229999999994</v>
      </c>
      <c r="Q18" s="10">
        <v>0.59152380000000004</v>
      </c>
      <c r="R18" s="10">
        <v>76.301280000000006</v>
      </c>
      <c r="S18" s="10">
        <v>107.06140000000001</v>
      </c>
      <c r="T18" s="10">
        <v>0.54009879999999999</v>
      </c>
      <c r="U18" s="7">
        <v>75.906300000000002</v>
      </c>
      <c r="V18" s="7">
        <f t="shared" si="1"/>
        <v>-0.14076619999999995</v>
      </c>
      <c r="W18" s="7">
        <f t="shared" si="2"/>
        <v>-6.2363699999999911E-2</v>
      </c>
      <c r="X18" s="7"/>
      <c r="Y18" s="9"/>
      <c r="Z18" s="10" t="s">
        <v>25</v>
      </c>
      <c r="AA18" s="10">
        <v>128.2473</v>
      </c>
      <c r="AB18" s="10">
        <v>0.4534337</v>
      </c>
      <c r="AC18" s="10">
        <v>75.138329999999996</v>
      </c>
      <c r="AD18" s="10">
        <v>144.23349999999999</v>
      </c>
      <c r="AE18" s="10">
        <v>0.40403210000000001</v>
      </c>
      <c r="AF18" s="7">
        <v>74.637349999999998</v>
      </c>
      <c r="AG18" s="7">
        <f t="shared" si="3"/>
        <v>-0.2788563</v>
      </c>
      <c r="AH18" s="7">
        <f t="shared" si="4"/>
        <v>-0.20045379999999996</v>
      </c>
      <c r="AI18" s="7"/>
      <c r="AJ18" s="9"/>
      <c r="AK18" s="10" t="s">
        <v>25</v>
      </c>
      <c r="AL18" s="10">
        <v>167.1063</v>
      </c>
      <c r="AM18" s="10">
        <v>0.3469351</v>
      </c>
      <c r="AN18" s="10">
        <v>74.008700000000005</v>
      </c>
      <c r="AO18" s="10">
        <v>193.571</v>
      </c>
      <c r="AP18" s="10">
        <v>0.30010209999999998</v>
      </c>
      <c r="AQ18" s="10">
        <v>73.378900000000002</v>
      </c>
      <c r="AR18" s="7">
        <f t="shared" si="5"/>
        <v>-0.3853549</v>
      </c>
      <c r="AS18" s="7">
        <f t="shared" si="6"/>
        <v>-0.30695239999999996</v>
      </c>
      <c r="AT18" s="7"/>
      <c r="AU18" s="9"/>
      <c r="AV18" s="10" t="s">
        <v>25</v>
      </c>
      <c r="AW18" s="10">
        <v>172.7679</v>
      </c>
      <c r="AX18" s="10">
        <v>0.33575529999999998</v>
      </c>
      <c r="AY18" s="10">
        <v>73.866069999999993</v>
      </c>
      <c r="AZ18" s="10">
        <v>201.274</v>
      </c>
      <c r="BA18" s="10">
        <v>0.28878110000000001</v>
      </c>
      <c r="BB18" s="7">
        <v>73.211519999999993</v>
      </c>
      <c r="BC18" s="7">
        <f t="shared" si="7"/>
        <v>-0.62424469999999999</v>
      </c>
      <c r="BD18" s="7">
        <f t="shared" si="8"/>
        <v>-0.62299519999999997</v>
      </c>
      <c r="BE18" s="7"/>
      <c r="BF18" s="9"/>
      <c r="BG18" s="10" t="s">
        <v>25</v>
      </c>
      <c r="BH18" s="10">
        <v>210.03450000000001</v>
      </c>
      <c r="BI18" s="10">
        <v>0.27430680000000002</v>
      </c>
      <c r="BJ18" s="10">
        <v>73.029169999999993</v>
      </c>
      <c r="BK18" s="10">
        <v>251.80330000000001</v>
      </c>
      <c r="BL18" s="10">
        <v>0.22924439999999999</v>
      </c>
      <c r="BM18" s="7">
        <v>72.249799999999993</v>
      </c>
      <c r="BN18" s="7">
        <f t="shared" si="9"/>
        <v>-0.6856932</v>
      </c>
      <c r="BO18" s="7">
        <f t="shared" si="10"/>
        <v>-0.68444369999999988</v>
      </c>
      <c r="BP18" s="7"/>
    </row>
    <row r="19" spans="1:68" x14ac:dyDescent="0.3">
      <c r="A19" s="10" t="s">
        <v>23</v>
      </c>
      <c r="B19" s="10">
        <v>0.75208000000000008</v>
      </c>
      <c r="D19" s="10" t="s">
        <v>23</v>
      </c>
      <c r="E19" s="10">
        <v>88.237780000000001</v>
      </c>
      <c r="F19" s="10">
        <v>0.64805170000000001</v>
      </c>
      <c r="G19" s="10">
        <v>77.685810000000004</v>
      </c>
      <c r="H19" s="10">
        <v>96.144990000000007</v>
      </c>
      <c r="I19" s="10">
        <v>0.59653089999999998</v>
      </c>
      <c r="J19" s="10">
        <v>77.326030000000003</v>
      </c>
      <c r="K19" s="1">
        <f t="shared" si="0"/>
        <v>-0.10402830000000007</v>
      </c>
      <c r="L19" s="7">
        <v>0</v>
      </c>
      <c r="M19" s="7"/>
      <c r="O19" s="10" t="s">
        <v>23</v>
      </c>
      <c r="P19" s="10">
        <v>97.604770000000002</v>
      </c>
      <c r="Q19" s="10">
        <v>0.58635130000000002</v>
      </c>
      <c r="R19" s="10">
        <v>77.263149999999996</v>
      </c>
      <c r="S19" s="10">
        <v>107.1431</v>
      </c>
      <c r="T19" s="10">
        <v>0.53571449999999998</v>
      </c>
      <c r="U19" s="7">
        <v>76.870900000000006</v>
      </c>
      <c r="V19" s="7">
        <f t="shared" si="1"/>
        <v>-0.16572870000000006</v>
      </c>
      <c r="W19" s="7">
        <f t="shared" si="2"/>
        <v>-6.1700399999999989E-2</v>
      </c>
      <c r="X19" s="7"/>
      <c r="Y19" s="9"/>
      <c r="Z19" s="10" t="s">
        <v>23</v>
      </c>
      <c r="AA19" s="10">
        <v>128.61160000000001</v>
      </c>
      <c r="AB19" s="10">
        <v>0.44937529999999998</v>
      </c>
      <c r="AC19" s="10">
        <v>76.099289999999996</v>
      </c>
      <c r="AD19" s="10">
        <v>144.7021</v>
      </c>
      <c r="AE19" s="10">
        <v>0.4005243</v>
      </c>
      <c r="AF19" s="7">
        <v>75.599490000000003</v>
      </c>
      <c r="AG19" s="7">
        <f t="shared" si="3"/>
        <v>-0.3027047000000001</v>
      </c>
      <c r="AH19" s="7">
        <f t="shared" si="4"/>
        <v>-0.19867640000000003</v>
      </c>
      <c r="AI19" s="7"/>
      <c r="AJ19" s="9"/>
      <c r="AK19" s="10" t="s">
        <v>23</v>
      </c>
      <c r="AL19" s="10">
        <v>167.87479999999999</v>
      </c>
      <c r="AM19" s="10">
        <v>0.34373520000000002</v>
      </c>
      <c r="AN19" s="10">
        <v>74.968459999999993</v>
      </c>
      <c r="AO19" s="10">
        <v>194.61779999999999</v>
      </c>
      <c r="AP19" s="10">
        <v>0.2972862</v>
      </c>
      <c r="AQ19" s="10">
        <v>74.337969999999999</v>
      </c>
      <c r="AR19" s="7">
        <f t="shared" si="5"/>
        <v>-0.40834480000000006</v>
      </c>
      <c r="AS19" s="7">
        <f t="shared" si="6"/>
        <v>-0.30431649999999999</v>
      </c>
      <c r="AT19" s="7"/>
      <c r="AU19" s="9"/>
      <c r="AV19" s="10" t="s">
        <v>23</v>
      </c>
      <c r="AW19" s="10">
        <v>173.536</v>
      </c>
      <c r="AX19" s="10">
        <v>0.3327581</v>
      </c>
      <c r="AY19" s="10">
        <v>74.827129999999997</v>
      </c>
      <c r="AZ19" s="10">
        <v>202.3339</v>
      </c>
      <c r="BA19" s="10">
        <v>0.28615459999999998</v>
      </c>
      <c r="BB19" s="7">
        <v>74.171840000000003</v>
      </c>
      <c r="BC19" s="7">
        <f t="shared" si="7"/>
        <v>-0.62724190000000002</v>
      </c>
      <c r="BD19" s="7">
        <f t="shared" si="8"/>
        <v>-0.62599239999999989</v>
      </c>
      <c r="BE19" s="7"/>
      <c r="BF19" s="9"/>
      <c r="BG19" s="10" t="s">
        <v>23</v>
      </c>
      <c r="BH19" s="10">
        <v>210.92869999999999</v>
      </c>
      <c r="BI19" s="10">
        <v>0.27213359999999998</v>
      </c>
      <c r="BJ19" s="10">
        <v>73.994640000000004</v>
      </c>
      <c r="BK19" s="10">
        <v>253.06829999999999</v>
      </c>
      <c r="BL19" s="10">
        <v>0.22739509999999999</v>
      </c>
      <c r="BM19" s="7">
        <v>73.21463</v>
      </c>
      <c r="BN19" s="7">
        <f t="shared" si="9"/>
        <v>-0.68786639999999999</v>
      </c>
      <c r="BO19" s="7">
        <f t="shared" si="10"/>
        <v>-0.68661689999999997</v>
      </c>
      <c r="BP19" s="7"/>
    </row>
    <row r="20" spans="1:68" x14ac:dyDescent="0.3">
      <c r="A20" s="10" t="s">
        <v>26</v>
      </c>
      <c r="B20" s="10">
        <v>0.76478500000000005</v>
      </c>
      <c r="D20" s="10" t="s">
        <v>26</v>
      </c>
      <c r="E20" s="10">
        <v>88.237780000000001</v>
      </c>
      <c r="F20" s="10">
        <v>0.63926260000000001</v>
      </c>
      <c r="G20" s="10">
        <v>78.626499999999993</v>
      </c>
      <c r="H20" s="10">
        <v>96.144990000000007</v>
      </c>
      <c r="I20" s="10">
        <v>0.58907560000000003</v>
      </c>
      <c r="J20" s="10">
        <v>78.271420000000006</v>
      </c>
      <c r="K20" s="1">
        <f t="shared" si="0"/>
        <v>-0.12552240000000003</v>
      </c>
      <c r="L20" s="7">
        <v>0</v>
      </c>
      <c r="M20" s="7"/>
      <c r="O20" s="10" t="s">
        <v>26</v>
      </c>
      <c r="P20" s="10">
        <v>97.412379999999999</v>
      </c>
      <c r="Q20" s="10">
        <v>0.58023950000000002</v>
      </c>
      <c r="R20" s="10">
        <v>78.217640000000003</v>
      </c>
      <c r="S20" s="10">
        <v>106.91030000000001</v>
      </c>
      <c r="T20" s="10">
        <v>0.53080020000000006</v>
      </c>
      <c r="U20" s="7">
        <v>77.830870000000004</v>
      </c>
      <c r="V20" s="7">
        <f t="shared" si="1"/>
        <v>-0.18454550000000003</v>
      </c>
      <c r="W20" s="7">
        <f t="shared" si="2"/>
        <v>-5.9023099999999995E-2</v>
      </c>
      <c r="X20" s="7"/>
      <c r="Y20" s="9"/>
      <c r="Z20" s="10" t="s">
        <v>26</v>
      </c>
      <c r="AA20" s="10">
        <v>127.8182</v>
      </c>
      <c r="AB20" s="10">
        <v>0.44779920000000001</v>
      </c>
      <c r="AC20" s="10">
        <v>77.084029999999998</v>
      </c>
      <c r="AD20" s="10">
        <v>143.69239999999999</v>
      </c>
      <c r="AE20" s="10">
        <v>0.3998544</v>
      </c>
      <c r="AF20" s="7">
        <v>76.592209999999994</v>
      </c>
      <c r="AG20" s="7">
        <f t="shared" si="3"/>
        <v>-0.31698580000000004</v>
      </c>
      <c r="AH20" s="7">
        <f t="shared" si="4"/>
        <v>-0.19146340000000001</v>
      </c>
      <c r="AI20" s="7"/>
      <c r="AJ20" s="9"/>
      <c r="AK20" s="10" t="s">
        <v>26</v>
      </c>
      <c r="AL20" s="10">
        <v>166.27350000000001</v>
      </c>
      <c r="AM20" s="10">
        <v>0.34444570000000002</v>
      </c>
      <c r="AN20" s="10">
        <v>75.977419999999995</v>
      </c>
      <c r="AO20" s="10">
        <v>192.44319999999999</v>
      </c>
      <c r="AP20" s="10">
        <v>0.29868430000000001</v>
      </c>
      <c r="AQ20" s="10">
        <v>75.358339999999998</v>
      </c>
      <c r="AR20" s="7">
        <f t="shared" si="5"/>
        <v>-0.42033930000000003</v>
      </c>
      <c r="AS20" s="7">
        <f t="shared" si="6"/>
        <v>-0.29481689999999999</v>
      </c>
      <c r="AT20" s="7"/>
      <c r="AU20" s="9"/>
      <c r="AV20" s="10" t="s">
        <v>26</v>
      </c>
      <c r="AW20" s="10">
        <v>171.93530000000001</v>
      </c>
      <c r="AX20" s="10">
        <v>0.33342250000000001</v>
      </c>
      <c r="AY20" s="10">
        <v>75.83578</v>
      </c>
      <c r="AZ20" s="10">
        <v>200.1317</v>
      </c>
      <c r="BA20" s="10">
        <v>0.28748820000000003</v>
      </c>
      <c r="BB20" s="7">
        <v>75.192040000000006</v>
      </c>
      <c r="BC20" s="7">
        <f t="shared" si="7"/>
        <v>-0.62657750000000001</v>
      </c>
      <c r="BD20" s="7">
        <f t="shared" si="8"/>
        <v>-0.62532799999999988</v>
      </c>
      <c r="BE20" s="7"/>
      <c r="BF20" s="9"/>
      <c r="BG20" s="10" t="s">
        <v>26</v>
      </c>
      <c r="BH20" s="10">
        <v>209.01130000000001</v>
      </c>
      <c r="BI20" s="10">
        <v>0.2730013</v>
      </c>
      <c r="BJ20" s="10">
        <v>75.008449999999996</v>
      </c>
      <c r="BK20" s="10">
        <v>250.31049999999999</v>
      </c>
      <c r="BL20" s="10">
        <v>0.2287527</v>
      </c>
      <c r="BM20" s="7">
        <v>74.240470000000002</v>
      </c>
      <c r="BN20" s="7">
        <f t="shared" si="9"/>
        <v>-0.68699869999999996</v>
      </c>
      <c r="BO20" s="7">
        <f t="shared" si="10"/>
        <v>-0.68574919999999995</v>
      </c>
      <c r="BP20" s="7"/>
    </row>
    <row r="21" spans="1:68" x14ac:dyDescent="0.3">
      <c r="A21" s="10" t="s">
        <v>27</v>
      </c>
      <c r="B21" s="10">
        <v>0.78190000000000004</v>
      </c>
      <c r="D21" s="10" t="s">
        <v>27</v>
      </c>
      <c r="E21" s="10">
        <v>79.525700000000001</v>
      </c>
      <c r="F21" s="10">
        <v>0.68881150000000002</v>
      </c>
      <c r="G21" s="10">
        <v>79.950710000000001</v>
      </c>
      <c r="H21" s="10">
        <v>85.870249999999999</v>
      </c>
      <c r="I21" s="10">
        <v>0.64155589999999996</v>
      </c>
      <c r="J21" s="10">
        <v>79.642049999999998</v>
      </c>
      <c r="K21" s="1">
        <f t="shared" si="0"/>
        <v>-9.3088500000000018E-2</v>
      </c>
      <c r="L21" s="7">
        <v>0</v>
      </c>
      <c r="M21" s="7"/>
      <c r="O21" s="10" t="s">
        <v>27</v>
      </c>
      <c r="P21" s="10">
        <v>88.196060000000003</v>
      </c>
      <c r="Q21" s="10">
        <v>0.62422889999999998</v>
      </c>
      <c r="R21" s="10">
        <v>79.534999999999997</v>
      </c>
      <c r="S21" s="10">
        <v>95.878219999999999</v>
      </c>
      <c r="T21" s="10">
        <v>0.57743069999999996</v>
      </c>
      <c r="U21" s="7">
        <v>79.196560000000005</v>
      </c>
      <c r="V21" s="7">
        <f t="shared" si="1"/>
        <v>-0.15767110000000006</v>
      </c>
      <c r="W21" s="7">
        <f t="shared" si="2"/>
        <v>-6.4582600000000046E-2</v>
      </c>
      <c r="X21" s="7"/>
      <c r="Y21" s="9"/>
      <c r="Z21" s="10" t="s">
        <v>27</v>
      </c>
      <c r="AA21" s="10">
        <v>116.3622</v>
      </c>
      <c r="AB21" s="10">
        <v>0.48211039999999999</v>
      </c>
      <c r="AC21" s="10">
        <v>78.404660000000007</v>
      </c>
      <c r="AD21" s="10">
        <v>129.3134</v>
      </c>
      <c r="AE21" s="10">
        <v>0.43617139999999999</v>
      </c>
      <c r="AF21" s="7">
        <v>77.969759999999994</v>
      </c>
      <c r="AG21" s="7">
        <f t="shared" si="3"/>
        <v>-0.29978960000000004</v>
      </c>
      <c r="AH21" s="7">
        <f t="shared" si="4"/>
        <v>-0.20670110000000003</v>
      </c>
      <c r="AI21" s="7"/>
      <c r="AJ21" s="9"/>
      <c r="AK21" s="10" t="s">
        <v>27</v>
      </c>
      <c r="AL21" s="10">
        <v>152.06909999999999</v>
      </c>
      <c r="AM21" s="10">
        <v>0.37090640000000002</v>
      </c>
      <c r="AN21" s="10">
        <v>77.298860000000005</v>
      </c>
      <c r="AO21" s="10">
        <v>173.56399999999999</v>
      </c>
      <c r="AP21" s="10">
        <v>0.32664349999999998</v>
      </c>
      <c r="AQ21" s="10">
        <v>76.746960000000001</v>
      </c>
      <c r="AR21" s="7">
        <f t="shared" si="5"/>
        <v>-0.41099360000000001</v>
      </c>
      <c r="AS21" s="7">
        <f t="shared" si="6"/>
        <v>-0.3179051</v>
      </c>
      <c r="AT21" s="7"/>
      <c r="AU21" s="9"/>
      <c r="AV21" s="10" t="s">
        <v>27</v>
      </c>
      <c r="AW21" s="10">
        <v>157.73159999999999</v>
      </c>
      <c r="AX21" s="10">
        <v>0.35815190000000002</v>
      </c>
      <c r="AY21" s="10">
        <v>77.146510000000006</v>
      </c>
      <c r="AZ21" s="10">
        <v>181.0258</v>
      </c>
      <c r="BA21" s="10">
        <v>0.31367590000000001</v>
      </c>
      <c r="BB21" s="7">
        <v>76.570660000000004</v>
      </c>
      <c r="BC21" s="7">
        <f t="shared" si="7"/>
        <v>-0.6018481</v>
      </c>
      <c r="BD21" s="7">
        <f t="shared" si="8"/>
        <v>-0.60059859999999987</v>
      </c>
      <c r="BE21" s="7"/>
      <c r="BF21" s="9"/>
      <c r="BG21" s="10" t="s">
        <v>27</v>
      </c>
      <c r="BH21" s="10">
        <v>194.17920000000001</v>
      </c>
      <c r="BI21" s="10">
        <v>0.29045860000000001</v>
      </c>
      <c r="BJ21" s="10">
        <v>76.277659999999997</v>
      </c>
      <c r="BK21" s="10">
        <v>229.11760000000001</v>
      </c>
      <c r="BL21" s="10">
        <v>0.24738689999999999</v>
      </c>
      <c r="BM21" s="7">
        <v>75.580579999999998</v>
      </c>
      <c r="BN21" s="7">
        <f t="shared" si="9"/>
        <v>-0.66954139999999995</v>
      </c>
      <c r="BO21" s="7">
        <f t="shared" si="10"/>
        <v>-0.66829189999999994</v>
      </c>
      <c r="BP21" s="7"/>
    </row>
    <row r="22" spans="1:68" x14ac:dyDescent="0.3">
      <c r="A22" s="10" t="s">
        <v>28</v>
      </c>
      <c r="B22" s="10">
        <v>0.75202999999999998</v>
      </c>
      <c r="D22" s="10" t="s">
        <v>28</v>
      </c>
      <c r="E22" s="10">
        <v>79.525700000000001</v>
      </c>
      <c r="F22" s="10">
        <v>0.66310999999999998</v>
      </c>
      <c r="G22" s="10">
        <v>80.785560000000004</v>
      </c>
      <c r="H22" s="10">
        <v>85.870249999999999</v>
      </c>
      <c r="I22" s="10">
        <v>0.61920269999999999</v>
      </c>
      <c r="J22" s="10">
        <v>80.488039999999998</v>
      </c>
      <c r="K22" s="1">
        <f t="shared" si="0"/>
        <v>-8.8919999999999999E-2</v>
      </c>
      <c r="L22" s="7">
        <v>0</v>
      </c>
      <c r="M22" s="7"/>
      <c r="O22" s="10" t="s">
        <v>28</v>
      </c>
      <c r="P22" s="10">
        <v>87.29965</v>
      </c>
      <c r="Q22" s="10">
        <v>0.60860709999999996</v>
      </c>
      <c r="R22" s="10">
        <v>80.424930000000003</v>
      </c>
      <c r="S22" s="10">
        <v>94.817160000000001</v>
      </c>
      <c r="T22" s="10">
        <v>0.56492489999999995</v>
      </c>
      <c r="U22" s="7">
        <v>80.101470000000006</v>
      </c>
      <c r="V22" s="7">
        <f t="shared" si="1"/>
        <v>-0.14342290000000002</v>
      </c>
      <c r="W22" s="7">
        <f t="shared" si="2"/>
        <v>-5.4502900000000021E-2</v>
      </c>
      <c r="X22" s="7"/>
      <c r="Y22" s="9"/>
      <c r="Z22" s="10" t="s">
        <v>28</v>
      </c>
      <c r="AA22" s="10">
        <v>111.83240000000001</v>
      </c>
      <c r="AB22" s="10">
        <v>0.48683710000000002</v>
      </c>
      <c r="AC22" s="10">
        <v>79.447029999999998</v>
      </c>
      <c r="AD22" s="10">
        <v>123.7269</v>
      </c>
      <c r="AE22" s="10">
        <v>0.44351550000000001</v>
      </c>
      <c r="AF22" s="7">
        <v>79.042270000000002</v>
      </c>
      <c r="AG22" s="7">
        <f t="shared" si="3"/>
        <v>-0.26519289999999995</v>
      </c>
      <c r="AH22" s="7">
        <f t="shared" si="4"/>
        <v>-0.17627289999999995</v>
      </c>
      <c r="AI22" s="7"/>
      <c r="AJ22" s="9"/>
      <c r="AK22" s="10" t="s">
        <v>28</v>
      </c>
      <c r="AL22" s="10">
        <v>142.68260000000001</v>
      </c>
      <c r="AM22" s="10">
        <v>0.38567950000000001</v>
      </c>
      <c r="AN22" s="10">
        <v>78.46848</v>
      </c>
      <c r="AO22" s="10">
        <v>161.3783</v>
      </c>
      <c r="AP22" s="10">
        <v>0.34357260000000001</v>
      </c>
      <c r="AQ22" s="10">
        <v>77.966390000000004</v>
      </c>
      <c r="AR22" s="7">
        <f t="shared" si="5"/>
        <v>-0.36635049999999997</v>
      </c>
      <c r="AS22" s="7">
        <f t="shared" si="6"/>
        <v>-0.27743049999999997</v>
      </c>
      <c r="AT22" s="7"/>
      <c r="AU22" s="9"/>
      <c r="AV22" s="10" t="s">
        <v>28</v>
      </c>
      <c r="AW22" s="10">
        <v>148.3432</v>
      </c>
      <c r="AX22" s="10">
        <v>0.37191000000000002</v>
      </c>
      <c r="AY22" s="10">
        <v>78.310209999999998</v>
      </c>
      <c r="AZ22" s="10">
        <v>168.70230000000001</v>
      </c>
      <c r="BA22" s="10">
        <v>0.32950750000000001</v>
      </c>
      <c r="BB22" s="7">
        <v>77.784480000000002</v>
      </c>
      <c r="BC22" s="7">
        <f t="shared" si="7"/>
        <v>-0.58809</v>
      </c>
      <c r="BD22" s="7">
        <f t="shared" si="8"/>
        <v>-0.58684049999999988</v>
      </c>
      <c r="BE22" s="7"/>
      <c r="BF22" s="9"/>
      <c r="BG22" s="10" t="s">
        <v>28</v>
      </c>
      <c r="BH22" s="10">
        <v>183.41589999999999</v>
      </c>
      <c r="BI22" s="10">
        <v>0.30170999999999998</v>
      </c>
      <c r="BJ22" s="10">
        <v>77.442700000000002</v>
      </c>
      <c r="BK22" s="10">
        <v>214.14519999999999</v>
      </c>
      <c r="BL22" s="10">
        <v>0.26030500000000001</v>
      </c>
      <c r="BM22" s="7">
        <v>76.801630000000003</v>
      </c>
      <c r="BN22" s="7">
        <f t="shared" si="9"/>
        <v>-0.65829000000000004</v>
      </c>
      <c r="BO22" s="7">
        <f t="shared" si="10"/>
        <v>-0.65704049999999992</v>
      </c>
      <c r="BP22" s="7"/>
    </row>
    <row r="23" spans="1:68" x14ac:dyDescent="0.3">
      <c r="A23" s="10" t="s">
        <v>29</v>
      </c>
      <c r="B23" s="10">
        <v>0.70745999999999998</v>
      </c>
      <c r="D23" s="10" t="s">
        <v>29</v>
      </c>
      <c r="E23" s="10">
        <v>79.525700000000001</v>
      </c>
      <c r="F23" s="10">
        <v>0.62876500000000002</v>
      </c>
      <c r="G23" s="10">
        <v>81.554580000000001</v>
      </c>
      <c r="H23" s="10">
        <v>85.870249999999999</v>
      </c>
      <c r="I23" s="10">
        <v>0.58915229999999996</v>
      </c>
      <c r="J23" s="10">
        <v>81.271979999999999</v>
      </c>
      <c r="K23" s="1">
        <f t="shared" si="0"/>
        <v>-7.8694999999999959E-2</v>
      </c>
      <c r="L23" s="7">
        <v>0</v>
      </c>
      <c r="M23" s="7"/>
      <c r="O23" s="10" t="s">
        <v>29</v>
      </c>
      <c r="P23" s="10">
        <v>86.530280000000005</v>
      </c>
      <c r="Q23" s="10">
        <v>0.5839529</v>
      </c>
      <c r="R23" s="10">
        <v>81.245350000000002</v>
      </c>
      <c r="S23" s="10">
        <v>93.908140000000003</v>
      </c>
      <c r="T23" s="10">
        <v>0.5443192</v>
      </c>
      <c r="U23" s="7">
        <v>80.940100000000001</v>
      </c>
      <c r="V23" s="7">
        <f t="shared" si="1"/>
        <v>-0.12350709999999998</v>
      </c>
      <c r="W23" s="7">
        <f t="shared" si="2"/>
        <v>-4.4812100000000021E-2</v>
      </c>
      <c r="X23" s="7"/>
      <c r="Y23" s="9"/>
      <c r="Z23" s="10" t="s">
        <v>29</v>
      </c>
      <c r="AA23" s="10">
        <v>108.6378</v>
      </c>
      <c r="AB23" s="10">
        <v>0.48017779999999999</v>
      </c>
      <c r="AC23" s="10">
        <v>80.387209999999996</v>
      </c>
      <c r="AD23" s="10">
        <v>119.8154</v>
      </c>
      <c r="AE23" s="10">
        <v>0.44031389999999998</v>
      </c>
      <c r="AF23" s="7">
        <v>80.010819999999995</v>
      </c>
      <c r="AG23" s="7">
        <f t="shared" si="3"/>
        <v>-0.22728219999999999</v>
      </c>
      <c r="AH23" s="7">
        <f t="shared" si="4"/>
        <v>-0.14858720000000003</v>
      </c>
      <c r="AI23" s="7"/>
      <c r="AJ23" s="9"/>
      <c r="AK23" s="10" t="s">
        <v>29</v>
      </c>
      <c r="AL23" s="10">
        <v>136.25110000000001</v>
      </c>
      <c r="AM23" s="10">
        <v>0.3897292</v>
      </c>
      <c r="AN23" s="10">
        <v>79.513840000000002</v>
      </c>
      <c r="AO23" s="10">
        <v>153.1576</v>
      </c>
      <c r="AP23" s="10">
        <v>0.35047850000000003</v>
      </c>
      <c r="AQ23" s="10">
        <v>79.05283</v>
      </c>
      <c r="AR23" s="7">
        <f t="shared" si="5"/>
        <v>-0.31773079999999998</v>
      </c>
      <c r="AS23" s="7">
        <f t="shared" si="6"/>
        <v>-0.23903580000000002</v>
      </c>
      <c r="AT23" s="7"/>
      <c r="AU23" s="9"/>
      <c r="AV23" s="10" t="s">
        <v>29</v>
      </c>
      <c r="AW23" s="10">
        <v>141.91229999999999</v>
      </c>
      <c r="AX23" s="10">
        <v>0.37567139999999999</v>
      </c>
      <c r="AY23" s="10">
        <v>79.353920000000002</v>
      </c>
      <c r="AZ23" s="10">
        <v>160.3869</v>
      </c>
      <c r="BA23" s="10">
        <v>0.33603480000000002</v>
      </c>
      <c r="BB23" s="7">
        <v>78.869680000000002</v>
      </c>
      <c r="BC23" s="7">
        <f t="shared" si="7"/>
        <v>-0.58432859999999998</v>
      </c>
      <c r="BD23" s="7">
        <f t="shared" si="8"/>
        <v>-0.58307909999999996</v>
      </c>
      <c r="BE23" s="7"/>
      <c r="BF23" s="9"/>
      <c r="BG23" s="10" t="s">
        <v>29</v>
      </c>
      <c r="BH23" s="10">
        <v>175.79400000000001</v>
      </c>
      <c r="BI23" s="10">
        <v>0.30618010000000001</v>
      </c>
      <c r="BJ23" s="10">
        <v>78.50658</v>
      </c>
      <c r="BK23" s="10">
        <v>203.75540000000001</v>
      </c>
      <c r="BL23" s="10">
        <v>0.26696779999999998</v>
      </c>
      <c r="BM23" s="7">
        <v>77.9114</v>
      </c>
      <c r="BN23" s="7">
        <f t="shared" si="9"/>
        <v>-0.65381990000000001</v>
      </c>
      <c r="BO23" s="7">
        <f t="shared" si="10"/>
        <v>-0.65257039999999988</v>
      </c>
      <c r="BP23" s="7"/>
    </row>
    <row r="24" spans="1:68" x14ac:dyDescent="0.3">
      <c r="A24" s="10" t="s">
        <v>30</v>
      </c>
      <c r="B24" s="10">
        <v>0.65663000000000005</v>
      </c>
      <c r="D24" s="10" t="s">
        <v>30</v>
      </c>
      <c r="E24" s="10">
        <v>79.52431</v>
      </c>
      <c r="F24" s="10">
        <v>0.58052250000000005</v>
      </c>
      <c r="G24" s="10">
        <v>82.207899999999995</v>
      </c>
      <c r="H24" s="10">
        <v>85.868639999999999</v>
      </c>
      <c r="I24" s="10">
        <v>0.54659239999999998</v>
      </c>
      <c r="J24" s="10">
        <v>81.946340000000006</v>
      </c>
      <c r="K24" s="1">
        <f t="shared" si="0"/>
        <v>-7.6107499999999995E-2</v>
      </c>
      <c r="L24" s="7">
        <v>0</v>
      </c>
      <c r="M24" s="7"/>
      <c r="O24" s="10" t="s">
        <v>30</v>
      </c>
      <c r="P24" s="10">
        <v>86.414379999999994</v>
      </c>
      <c r="Q24" s="10">
        <v>0.54268240000000001</v>
      </c>
      <c r="R24" s="10">
        <v>81.927019999999999</v>
      </c>
      <c r="S24" s="10">
        <v>93.771330000000006</v>
      </c>
      <c r="T24" s="10">
        <v>0.50837920000000003</v>
      </c>
      <c r="U24" s="7">
        <v>81.643450000000001</v>
      </c>
      <c r="V24" s="7">
        <f t="shared" si="1"/>
        <v>-0.11394760000000004</v>
      </c>
      <c r="W24" s="7">
        <f t="shared" si="2"/>
        <v>-3.7840100000000043E-2</v>
      </c>
      <c r="X24" s="7"/>
      <c r="Y24" s="9"/>
      <c r="Z24" s="10" t="s">
        <v>30</v>
      </c>
      <c r="AA24" s="10">
        <v>108.51990000000001</v>
      </c>
      <c r="AB24" s="10">
        <v>0.45192359999999998</v>
      </c>
      <c r="AC24" s="10">
        <v>81.123850000000004</v>
      </c>
      <c r="AD24" s="10">
        <v>119.67140000000001</v>
      </c>
      <c r="AE24" s="10">
        <v>0.4165162</v>
      </c>
      <c r="AF24" s="7">
        <v>80.76952</v>
      </c>
      <c r="AG24" s="7">
        <f t="shared" si="3"/>
        <v>-0.20470640000000007</v>
      </c>
      <c r="AH24" s="7">
        <f t="shared" si="4"/>
        <v>-0.12859890000000007</v>
      </c>
      <c r="AI24" s="7"/>
      <c r="AJ24" s="9"/>
      <c r="AK24" s="10" t="s">
        <v>30</v>
      </c>
      <c r="AL24" s="10">
        <v>136.1352</v>
      </c>
      <c r="AM24" s="10">
        <v>0.3709054</v>
      </c>
      <c r="AN24" s="10">
        <v>80.298839999999998</v>
      </c>
      <c r="AO24" s="10">
        <v>153.01009999999999</v>
      </c>
      <c r="AP24" s="10">
        <v>0.33524150000000003</v>
      </c>
      <c r="AQ24" s="10">
        <v>79.859790000000004</v>
      </c>
      <c r="AR24" s="7">
        <f t="shared" si="5"/>
        <v>-0.28572460000000005</v>
      </c>
      <c r="AS24" s="7">
        <f t="shared" si="6"/>
        <v>-0.20961710000000006</v>
      </c>
      <c r="AT24" s="7"/>
      <c r="AU24" s="9"/>
      <c r="AV24" s="10" t="s">
        <v>30</v>
      </c>
      <c r="AW24" s="10">
        <v>141.7961</v>
      </c>
      <c r="AX24" s="10">
        <v>0.35815140000000001</v>
      </c>
      <c r="AY24" s="10">
        <v>80.146510000000006</v>
      </c>
      <c r="AZ24" s="10">
        <v>160.23769999999999</v>
      </c>
      <c r="BA24" s="10">
        <v>0.3220055</v>
      </c>
      <c r="BB24" s="7">
        <v>79.684479999999994</v>
      </c>
      <c r="BC24" s="7">
        <f t="shared" si="7"/>
        <v>-0.60184859999999996</v>
      </c>
      <c r="BD24" s="7">
        <f t="shared" si="8"/>
        <v>-0.60059909999999994</v>
      </c>
      <c r="BE24" s="7"/>
      <c r="BF24" s="9"/>
      <c r="BG24" s="10" t="s">
        <v>30</v>
      </c>
      <c r="BH24" s="10">
        <v>175.49809999999999</v>
      </c>
      <c r="BI24" s="10">
        <v>0.29471009999999997</v>
      </c>
      <c r="BJ24" s="10">
        <v>79.340760000000003</v>
      </c>
      <c r="BK24" s="10">
        <v>203.3545</v>
      </c>
      <c r="BL24" s="10">
        <v>0.25832579999999999</v>
      </c>
      <c r="BM24" s="7">
        <v>78.76849</v>
      </c>
      <c r="BN24" s="7">
        <f t="shared" si="9"/>
        <v>-0.66528989999999999</v>
      </c>
      <c r="BO24" s="7">
        <f t="shared" si="10"/>
        <v>-0.66404039999999998</v>
      </c>
      <c r="BP24" s="7"/>
    </row>
    <row r="25" spans="1:68" x14ac:dyDescent="0.3">
      <c r="A25" s="10" t="s">
        <v>31</v>
      </c>
      <c r="B25" s="10">
        <v>0.55407499999999998</v>
      </c>
      <c r="D25" s="10" t="s">
        <v>31</v>
      </c>
      <c r="E25" s="10">
        <v>79.52431</v>
      </c>
      <c r="F25" s="10">
        <v>0.51666440000000002</v>
      </c>
      <c r="G25" s="10">
        <v>82.701790000000003</v>
      </c>
      <c r="H25" s="10">
        <v>85.868639999999999</v>
      </c>
      <c r="I25" s="10">
        <v>0.48961450000000001</v>
      </c>
      <c r="J25" s="10">
        <v>82.468249999999998</v>
      </c>
      <c r="K25" s="1">
        <f t="shared" si="0"/>
        <v>-3.7410599999999961E-2</v>
      </c>
      <c r="L25" s="7">
        <v>0</v>
      </c>
      <c r="M25" s="7"/>
      <c r="O25" s="10" t="s">
        <v>31</v>
      </c>
      <c r="P25" s="10">
        <v>86.414379999999994</v>
      </c>
      <c r="Q25" s="10">
        <v>0.48647499999999999</v>
      </c>
      <c r="R25" s="10">
        <v>82.452169999999995</v>
      </c>
      <c r="S25" s="10">
        <v>93.771330000000006</v>
      </c>
      <c r="T25" s="10">
        <v>0.45872790000000002</v>
      </c>
      <c r="U25" s="7">
        <v>82.197109999999995</v>
      </c>
      <c r="V25" s="7">
        <f t="shared" si="1"/>
        <v>-6.7599999999999993E-2</v>
      </c>
      <c r="W25" s="7">
        <f t="shared" si="2"/>
        <v>-3.0189400000000033E-2</v>
      </c>
      <c r="X25" s="7"/>
      <c r="Y25" s="9"/>
      <c r="Z25" s="10" t="s">
        <v>31</v>
      </c>
      <c r="AA25" s="10">
        <v>108.51990000000001</v>
      </c>
      <c r="AB25" s="10">
        <v>0.41225729999999999</v>
      </c>
      <c r="AC25" s="10">
        <v>81.724869999999996</v>
      </c>
      <c r="AD25" s="10">
        <v>119.67140000000001</v>
      </c>
      <c r="AE25" s="10">
        <v>0.3825887</v>
      </c>
      <c r="AF25" s="7">
        <v>81.400509999999997</v>
      </c>
      <c r="AG25" s="7">
        <f t="shared" si="3"/>
        <v>-0.14181769999999999</v>
      </c>
      <c r="AH25" s="7">
        <f t="shared" si="4"/>
        <v>-0.10440710000000003</v>
      </c>
      <c r="AI25" s="7"/>
      <c r="AJ25" s="9"/>
      <c r="AK25" s="10" t="s">
        <v>31</v>
      </c>
      <c r="AL25" s="10">
        <v>136.1352</v>
      </c>
      <c r="AM25" s="10">
        <v>0.34375939999999999</v>
      </c>
      <c r="AN25" s="10">
        <v>80.96875</v>
      </c>
      <c r="AO25" s="10">
        <v>153.01009999999999</v>
      </c>
      <c r="AP25" s="10">
        <v>0.31290770000000001</v>
      </c>
      <c r="AQ25" s="10">
        <v>80.560370000000006</v>
      </c>
      <c r="AR25" s="7">
        <f t="shared" si="5"/>
        <v>-0.21031559999999999</v>
      </c>
      <c r="AS25" s="7">
        <f t="shared" si="6"/>
        <v>-0.17290500000000003</v>
      </c>
      <c r="AT25" s="7"/>
      <c r="AU25" s="9"/>
      <c r="AV25" s="10" t="s">
        <v>31</v>
      </c>
      <c r="AW25" s="10">
        <v>141.7961</v>
      </c>
      <c r="AX25" s="10">
        <v>0.33277640000000003</v>
      </c>
      <c r="AY25" s="10">
        <v>80.827359999999999</v>
      </c>
      <c r="AZ25" s="10">
        <v>160.23769999999999</v>
      </c>
      <c r="BA25" s="10">
        <v>0.30134610000000001</v>
      </c>
      <c r="BB25" s="7">
        <v>80.39649</v>
      </c>
      <c r="BC25" s="7">
        <f t="shared" si="7"/>
        <v>-0.62722359999999999</v>
      </c>
      <c r="BD25" s="7">
        <f t="shared" si="8"/>
        <v>-0.62597409999999987</v>
      </c>
      <c r="BE25" s="7"/>
      <c r="BF25" s="9"/>
      <c r="BG25" s="10" t="s">
        <v>31</v>
      </c>
      <c r="BH25" s="10">
        <v>175.49809999999999</v>
      </c>
      <c r="BI25" s="10">
        <v>0.2773101</v>
      </c>
      <c r="BJ25" s="10">
        <v>80.076459999999997</v>
      </c>
      <c r="BK25" s="10">
        <v>203.3545</v>
      </c>
      <c r="BL25" s="10">
        <v>0.24485879999999999</v>
      </c>
      <c r="BM25" s="7">
        <v>79.535960000000003</v>
      </c>
      <c r="BN25" s="7">
        <f t="shared" si="9"/>
        <v>-0.68268989999999996</v>
      </c>
      <c r="BO25" s="7">
        <f t="shared" si="10"/>
        <v>-0.68144039999999995</v>
      </c>
      <c r="BP25" s="7"/>
    </row>
    <row r="26" spans="1:68" x14ac:dyDescent="0.3">
      <c r="A26" s="10" t="s">
        <v>32</v>
      </c>
      <c r="B26" s="10">
        <v>0.47575999999999996</v>
      </c>
      <c r="D26" s="10" t="s">
        <v>32</v>
      </c>
      <c r="E26" s="10">
        <v>79.52431</v>
      </c>
      <c r="F26" s="10">
        <v>0.44679360000000001</v>
      </c>
      <c r="G26" s="10">
        <v>83.070769999999996</v>
      </c>
      <c r="H26" s="10">
        <v>85.868639999999999</v>
      </c>
      <c r="I26" s="10">
        <v>0.42642089999999999</v>
      </c>
      <c r="J26" s="10">
        <v>82.868089999999995</v>
      </c>
      <c r="K26" s="1">
        <f t="shared" si="0"/>
        <v>-2.8966399999999948E-2</v>
      </c>
      <c r="L26" s="7">
        <v>0</v>
      </c>
      <c r="M26" s="7"/>
      <c r="O26" s="10" t="s">
        <v>32</v>
      </c>
      <c r="P26" s="10">
        <v>86.414379999999994</v>
      </c>
      <c r="Q26" s="10">
        <v>0.42403750000000001</v>
      </c>
      <c r="R26" s="10">
        <v>82.855609999999999</v>
      </c>
      <c r="S26" s="10">
        <v>93.771330000000006</v>
      </c>
      <c r="T26" s="10">
        <v>0.4028004</v>
      </c>
      <c r="U26" s="7">
        <v>82.632459999999995</v>
      </c>
      <c r="V26" s="7">
        <f t="shared" si="1"/>
        <v>-5.1722499999999949E-2</v>
      </c>
      <c r="W26" s="7">
        <f t="shared" si="2"/>
        <v>-2.2756100000000001E-2</v>
      </c>
      <c r="X26" s="7"/>
      <c r="Y26" s="9"/>
      <c r="Z26" s="10" t="s">
        <v>32</v>
      </c>
      <c r="AA26" s="10">
        <v>108.51990000000001</v>
      </c>
      <c r="AB26" s="10">
        <v>0.36652230000000002</v>
      </c>
      <c r="AC26" s="10">
        <v>82.214200000000005</v>
      </c>
      <c r="AD26" s="10">
        <v>119.67140000000001</v>
      </c>
      <c r="AE26" s="10">
        <v>0.34288249999999998</v>
      </c>
      <c r="AF26" s="7">
        <v>81.92465</v>
      </c>
      <c r="AG26" s="7">
        <f t="shared" si="3"/>
        <v>-0.10923769999999994</v>
      </c>
      <c r="AH26" s="7">
        <f t="shared" si="4"/>
        <v>-8.027129999999999E-2</v>
      </c>
      <c r="AI26" s="7"/>
      <c r="AJ26" s="9"/>
      <c r="AK26" s="10" t="s">
        <v>32</v>
      </c>
      <c r="AL26" s="10">
        <v>136.1352</v>
      </c>
      <c r="AM26" s="10">
        <v>0.31136259999999999</v>
      </c>
      <c r="AN26" s="10">
        <v>81.538880000000006</v>
      </c>
      <c r="AO26" s="10">
        <v>153.01009999999999</v>
      </c>
      <c r="AP26" s="10">
        <v>0.28583609999999998</v>
      </c>
      <c r="AQ26" s="10">
        <v>81.167379999999994</v>
      </c>
      <c r="AR26" s="7">
        <f t="shared" si="5"/>
        <v>-0.16439739999999997</v>
      </c>
      <c r="AS26" s="7">
        <f t="shared" si="6"/>
        <v>-0.13543100000000002</v>
      </c>
      <c r="AT26" s="7"/>
      <c r="AU26" s="9"/>
      <c r="AV26" s="10" t="s">
        <v>32</v>
      </c>
      <c r="AW26" s="10">
        <v>141.7961</v>
      </c>
      <c r="AX26" s="10">
        <v>0.30232500000000001</v>
      </c>
      <c r="AY26" s="10">
        <v>81.410579999999996</v>
      </c>
      <c r="AZ26" s="10">
        <v>160.23769999999999</v>
      </c>
      <c r="BA26" s="10">
        <v>0.2761576</v>
      </c>
      <c r="BB26" s="7">
        <v>81.017409999999998</v>
      </c>
      <c r="BC26" s="7">
        <f t="shared" si="7"/>
        <v>-0.65767500000000001</v>
      </c>
      <c r="BD26" s="7">
        <f t="shared" si="8"/>
        <v>-0.65642549999999988</v>
      </c>
      <c r="BE26" s="7"/>
      <c r="BF26" s="9"/>
      <c r="BG26" s="10" t="s">
        <v>32</v>
      </c>
      <c r="BH26" s="10">
        <v>175.49809999999999</v>
      </c>
      <c r="BI26" s="10">
        <v>0.25583640000000002</v>
      </c>
      <c r="BJ26" s="10">
        <v>80.726429999999993</v>
      </c>
      <c r="BK26" s="10">
        <v>203.3545</v>
      </c>
      <c r="BL26" s="10">
        <v>0.22796359999999999</v>
      </c>
      <c r="BM26" s="7">
        <v>80.225459999999998</v>
      </c>
      <c r="BN26" s="7">
        <f t="shared" si="9"/>
        <v>-0.7041636</v>
      </c>
      <c r="BO26" s="7">
        <f t="shared" si="10"/>
        <v>-0.70291409999999988</v>
      </c>
      <c r="BP26" s="7"/>
    </row>
    <row r="27" spans="1:68" x14ac:dyDescent="0.3">
      <c r="A27" s="10" t="s">
        <v>33</v>
      </c>
      <c r="B27" s="10">
        <v>0.40989500000000001</v>
      </c>
      <c r="D27" s="10" t="s">
        <v>33</v>
      </c>
      <c r="E27" s="10">
        <v>79.52431</v>
      </c>
      <c r="F27" s="10">
        <v>0.37264940000000002</v>
      </c>
      <c r="G27" s="10">
        <v>83.282709999999994</v>
      </c>
      <c r="H27" s="10">
        <v>85.868639999999999</v>
      </c>
      <c r="I27" s="10">
        <v>0.3583693</v>
      </c>
      <c r="J27" s="10">
        <v>83.113010000000003</v>
      </c>
      <c r="K27" s="1">
        <f t="shared" si="0"/>
        <v>-3.724559999999999E-2</v>
      </c>
      <c r="L27" s="7">
        <v>0</v>
      </c>
      <c r="M27" s="7"/>
      <c r="O27" s="10" t="s">
        <v>33</v>
      </c>
      <c r="P27" s="10">
        <v>86.414379999999994</v>
      </c>
      <c r="Q27" s="10">
        <v>0.35668440000000001</v>
      </c>
      <c r="R27" s="10">
        <v>83.104399999999998</v>
      </c>
      <c r="S27" s="10">
        <v>93.771330000000006</v>
      </c>
      <c r="T27" s="10">
        <v>0.34153749999999999</v>
      </c>
      <c r="U27" s="7">
        <v>82.915949999999995</v>
      </c>
      <c r="V27" s="7">
        <f t="shared" si="1"/>
        <v>-5.3210599999999997E-2</v>
      </c>
      <c r="W27" s="7">
        <f t="shared" si="2"/>
        <v>-1.5965000000000007E-2</v>
      </c>
      <c r="X27" s="7"/>
      <c r="Y27" s="9"/>
      <c r="Z27" s="10" t="s">
        <v>33</v>
      </c>
      <c r="AA27" s="10">
        <v>108.51990000000001</v>
      </c>
      <c r="AB27" s="10">
        <v>0.31509320000000002</v>
      </c>
      <c r="AC27" s="10">
        <v>82.557590000000005</v>
      </c>
      <c r="AD27" s="10">
        <v>119.67140000000001</v>
      </c>
      <c r="AE27" s="10">
        <v>0.29746250000000002</v>
      </c>
      <c r="AF27" s="7">
        <v>82.307509999999994</v>
      </c>
      <c r="AG27" s="7">
        <f t="shared" si="3"/>
        <v>-9.4801799999999992E-2</v>
      </c>
      <c r="AH27" s="7">
        <f t="shared" si="4"/>
        <v>-5.7556200000000002E-2</v>
      </c>
      <c r="AI27" s="7"/>
      <c r="AJ27" s="9"/>
      <c r="AK27" s="10" t="s">
        <v>33</v>
      </c>
      <c r="AL27" s="10">
        <v>136.1352</v>
      </c>
      <c r="AM27" s="10">
        <v>0.27344770000000002</v>
      </c>
      <c r="AN27" s="10">
        <v>81.974950000000007</v>
      </c>
      <c r="AO27" s="10">
        <v>153.01009999999999</v>
      </c>
      <c r="AP27" s="10">
        <v>0.25356089999999998</v>
      </c>
      <c r="AQ27" s="10">
        <v>81.647030000000001</v>
      </c>
      <c r="AR27" s="7">
        <f t="shared" si="5"/>
        <v>-0.13644729999999999</v>
      </c>
      <c r="AS27" s="7">
        <f t="shared" si="6"/>
        <v>-9.9201700000000004E-2</v>
      </c>
      <c r="AT27" s="7"/>
      <c r="AU27" s="9"/>
      <c r="AV27" s="10" t="s">
        <v>33</v>
      </c>
      <c r="AW27" s="10">
        <v>141.7961</v>
      </c>
      <c r="AX27" s="10">
        <v>0.26645239999999998</v>
      </c>
      <c r="AY27" s="10">
        <v>81.862030000000004</v>
      </c>
      <c r="AZ27" s="10">
        <v>160.23769999999999</v>
      </c>
      <c r="BA27" s="10">
        <v>0.24591550000000001</v>
      </c>
      <c r="BB27" s="7">
        <v>81.513689999999997</v>
      </c>
      <c r="BC27" s="7">
        <f t="shared" si="7"/>
        <v>-0.69354760000000004</v>
      </c>
      <c r="BD27" s="7">
        <f t="shared" si="8"/>
        <v>-0.69229809999999992</v>
      </c>
      <c r="BE27" s="7"/>
      <c r="BF27" s="9"/>
      <c r="BG27" s="10" t="s">
        <v>33</v>
      </c>
      <c r="BH27" s="10">
        <v>175.49809999999999</v>
      </c>
      <c r="BI27" s="10">
        <v>0.2296704</v>
      </c>
      <c r="BJ27" s="10">
        <v>81.257859999999994</v>
      </c>
      <c r="BK27" s="10">
        <v>203.3545</v>
      </c>
      <c r="BL27" s="10">
        <v>0.20695440000000001</v>
      </c>
      <c r="BM27" s="7">
        <v>80.805549999999997</v>
      </c>
      <c r="BN27" s="7">
        <f t="shared" si="9"/>
        <v>-0.73032959999999991</v>
      </c>
      <c r="BO27" s="7">
        <f t="shared" si="10"/>
        <v>-0.72908010000000001</v>
      </c>
      <c r="BP27" s="7"/>
    </row>
    <row r="28" spans="1:68" x14ac:dyDescent="0.3">
      <c r="A28" s="10" t="s">
        <v>34</v>
      </c>
      <c r="B28" s="10">
        <v>0.28999999999999998</v>
      </c>
      <c r="D28" s="10" t="s">
        <v>34</v>
      </c>
      <c r="E28" s="10">
        <v>79.52431</v>
      </c>
      <c r="F28" s="10">
        <v>0.29403839999999998</v>
      </c>
      <c r="G28" s="10">
        <v>83.253749999999997</v>
      </c>
      <c r="H28" s="10">
        <v>85.868639999999999</v>
      </c>
      <c r="I28" s="10">
        <v>0.28507519999999997</v>
      </c>
      <c r="J28" s="10">
        <v>83.119290000000007</v>
      </c>
      <c r="K28" s="1">
        <f t="shared" si="0"/>
        <v>4.0383999999999975E-3</v>
      </c>
      <c r="L28" s="7">
        <v>0</v>
      </c>
      <c r="M28" s="7"/>
      <c r="O28" s="10" t="s">
        <v>34</v>
      </c>
      <c r="P28" s="10">
        <v>86.414379999999994</v>
      </c>
      <c r="Q28" s="10">
        <v>0.28400799999999998</v>
      </c>
      <c r="R28" s="10">
        <v>83.114869999999996</v>
      </c>
      <c r="S28" s="10">
        <v>93.771330000000006</v>
      </c>
      <c r="T28" s="10">
        <v>0.27432099999999998</v>
      </c>
      <c r="U28" s="7">
        <v>82.964160000000007</v>
      </c>
      <c r="V28" s="7">
        <f t="shared" si="1"/>
        <v>-5.9919999999999973E-3</v>
      </c>
      <c r="W28" s="7">
        <f t="shared" si="2"/>
        <v>-1.0030399999999995E-2</v>
      </c>
      <c r="X28" s="7"/>
      <c r="Y28" s="9"/>
      <c r="Z28" s="10" t="s">
        <v>34</v>
      </c>
      <c r="AA28" s="10">
        <v>108.51990000000001</v>
      </c>
      <c r="AB28" s="10">
        <v>0.25699719999999998</v>
      </c>
      <c r="AC28" s="10">
        <v>82.672489999999996</v>
      </c>
      <c r="AD28" s="10">
        <v>119.67140000000001</v>
      </c>
      <c r="AE28" s="10">
        <v>0.24514630000000001</v>
      </c>
      <c r="AF28" s="7">
        <v>82.467449999999999</v>
      </c>
      <c r="AG28" s="7">
        <f t="shared" si="3"/>
        <v>-3.3002799999999999E-2</v>
      </c>
      <c r="AH28" s="7">
        <f t="shared" si="4"/>
        <v>-3.7041199999999996E-2</v>
      </c>
      <c r="AI28" s="7"/>
      <c r="AJ28" s="9"/>
      <c r="AK28" s="10" t="s">
        <v>34</v>
      </c>
      <c r="AL28" s="10">
        <v>136.1352</v>
      </c>
      <c r="AM28" s="10">
        <v>0.2286009</v>
      </c>
      <c r="AN28" s="10">
        <v>82.19699</v>
      </c>
      <c r="AO28" s="10">
        <v>153.01009999999999</v>
      </c>
      <c r="AP28" s="10">
        <v>0.21453449999999999</v>
      </c>
      <c r="AQ28" s="10">
        <v>81.921189999999996</v>
      </c>
      <c r="AR28" s="7">
        <f t="shared" si="5"/>
        <v>-6.1399099999999984E-2</v>
      </c>
      <c r="AS28" s="7">
        <f t="shared" si="6"/>
        <v>-6.5437499999999982E-2</v>
      </c>
      <c r="AT28" s="7"/>
      <c r="AU28" s="9"/>
      <c r="AV28" s="10" t="s">
        <v>34</v>
      </c>
      <c r="AW28" s="10">
        <v>141.7961</v>
      </c>
      <c r="AX28" s="10">
        <v>0.22369140000000001</v>
      </c>
      <c r="AY28" s="10">
        <v>82.102329999999995</v>
      </c>
      <c r="AZ28" s="10">
        <v>160.23769999999999</v>
      </c>
      <c r="BA28" s="10">
        <v>0.2090359</v>
      </c>
      <c r="BB28" s="7">
        <v>81.808040000000005</v>
      </c>
      <c r="BC28" s="7">
        <f t="shared" si="7"/>
        <v>-0.73630859999999998</v>
      </c>
      <c r="BD28" s="7">
        <f t="shared" si="8"/>
        <v>-0.73505909999999997</v>
      </c>
      <c r="BE28" s="7"/>
      <c r="BF28" s="9"/>
      <c r="BG28" s="10" t="s">
        <v>34</v>
      </c>
      <c r="BH28" s="10">
        <v>175.49809999999999</v>
      </c>
      <c r="BI28" s="10">
        <v>0.19718050000000001</v>
      </c>
      <c r="BJ28" s="10">
        <v>81.59545</v>
      </c>
      <c r="BK28" s="10">
        <v>203.3545</v>
      </c>
      <c r="BL28" s="10">
        <v>0.18019930000000001</v>
      </c>
      <c r="BM28" s="7">
        <v>81.204340000000002</v>
      </c>
      <c r="BN28" s="7">
        <f t="shared" si="9"/>
        <v>-0.76281949999999998</v>
      </c>
      <c r="BO28" s="7">
        <f t="shared" si="10"/>
        <v>-0.76156999999999997</v>
      </c>
      <c r="BP28" s="7"/>
    </row>
    <row r="29" spans="1:68" s="21" customFormat="1" x14ac:dyDescent="0.3">
      <c r="A29" s="10" t="s">
        <v>35</v>
      </c>
      <c r="B29" s="21">
        <v>0.23</v>
      </c>
      <c r="C29" s="11"/>
      <c r="D29" s="10" t="s">
        <v>35</v>
      </c>
      <c r="E29" s="10">
        <v>79.52431</v>
      </c>
      <c r="F29" s="10">
        <v>0.23238700000000001</v>
      </c>
      <c r="G29" s="10">
        <v>83.231830000000002</v>
      </c>
      <c r="H29" s="10">
        <v>85.868639999999999</v>
      </c>
      <c r="I29" s="10">
        <v>0.22675239999999999</v>
      </c>
      <c r="J29" s="10">
        <v>83.125230000000002</v>
      </c>
      <c r="K29" s="1">
        <f t="shared" si="0"/>
        <v>2.3870000000000002E-3</v>
      </c>
      <c r="L29" s="7">
        <v>0</v>
      </c>
      <c r="M29" s="7"/>
      <c r="N29" s="11"/>
      <c r="O29" s="10" t="s">
        <v>35</v>
      </c>
      <c r="P29" s="10">
        <v>86.414379999999994</v>
      </c>
      <c r="Q29" s="10">
        <v>0.22607669999999999</v>
      </c>
      <c r="R29" s="10">
        <v>83.124120000000005</v>
      </c>
      <c r="S29" s="10">
        <v>93.771330000000006</v>
      </c>
      <c r="T29" s="10">
        <v>0.21989549999999999</v>
      </c>
      <c r="U29" s="7">
        <v>83.003730000000004</v>
      </c>
      <c r="V29" s="7">
        <f t="shared" si="1"/>
        <v>-3.9233000000000184E-3</v>
      </c>
      <c r="W29" s="7">
        <f t="shared" si="2"/>
        <v>-6.3103000000000187E-3</v>
      </c>
      <c r="X29" s="7"/>
      <c r="Y29" s="9"/>
      <c r="Z29" s="10" t="s">
        <v>35</v>
      </c>
      <c r="AA29" s="10">
        <v>108.51990000000001</v>
      </c>
      <c r="AB29" s="10">
        <v>0.20862259999999999</v>
      </c>
      <c r="AC29" s="10">
        <v>82.766810000000007</v>
      </c>
      <c r="AD29" s="10">
        <v>119.67140000000001</v>
      </c>
      <c r="AE29" s="10">
        <v>0.2007449</v>
      </c>
      <c r="AF29" s="7">
        <v>82.599639999999994</v>
      </c>
      <c r="AG29" s="7">
        <f t="shared" si="3"/>
        <v>-2.1377400000000019E-2</v>
      </c>
      <c r="AH29" s="7">
        <f t="shared" si="4"/>
        <v>-2.3764400000000019E-2</v>
      </c>
      <c r="AI29" s="7"/>
      <c r="AJ29" s="9"/>
      <c r="AK29" s="10" t="s">
        <v>35</v>
      </c>
      <c r="AL29" s="10">
        <v>136.1352</v>
      </c>
      <c r="AM29" s="10">
        <v>0.18951290000000001</v>
      </c>
      <c r="AN29" s="10">
        <v>82.382599999999996</v>
      </c>
      <c r="AO29" s="10">
        <v>153.01009999999999</v>
      </c>
      <c r="AP29" s="10">
        <v>0.17974280000000001</v>
      </c>
      <c r="AQ29" s="10">
        <v>82.152730000000005</v>
      </c>
      <c r="AR29" s="7">
        <f t="shared" si="5"/>
        <v>-4.0487099999999998E-2</v>
      </c>
      <c r="AS29" s="7">
        <f t="shared" si="6"/>
        <v>-4.2874099999999998E-2</v>
      </c>
      <c r="AT29" s="7"/>
      <c r="AU29" s="9"/>
      <c r="AV29" s="10" t="s">
        <v>35</v>
      </c>
      <c r="AW29" s="10">
        <v>141.7961</v>
      </c>
      <c r="AX29" s="10">
        <v>0.18612629999999999</v>
      </c>
      <c r="AY29" s="10">
        <v>82.303920000000005</v>
      </c>
      <c r="AZ29" s="10">
        <v>160.23769999999999</v>
      </c>
      <c r="BA29" s="10">
        <v>0.17586689999999999</v>
      </c>
      <c r="BB29" s="7">
        <v>82.057689999999994</v>
      </c>
      <c r="BC29" s="7">
        <f t="shared" si="7"/>
        <v>-0.7738737</v>
      </c>
      <c r="BD29" s="7">
        <f t="shared" si="8"/>
        <v>-0.77262419999999998</v>
      </c>
      <c r="BE29" s="7"/>
      <c r="BF29" s="9"/>
      <c r="BG29" s="10" t="s">
        <v>35</v>
      </c>
      <c r="BH29" s="10">
        <v>175.49809999999999</v>
      </c>
      <c r="BI29" s="10">
        <v>0.1673992</v>
      </c>
      <c r="BJ29" s="10">
        <v>81.884349999999998</v>
      </c>
      <c r="BK29" s="10">
        <v>203.3545</v>
      </c>
      <c r="BL29" s="10">
        <v>0.1549989</v>
      </c>
      <c r="BM29" s="7">
        <v>81.5501</v>
      </c>
      <c r="BN29" s="7">
        <f t="shared" si="9"/>
        <v>-0.79260079999999999</v>
      </c>
      <c r="BO29" s="7">
        <f t="shared" si="10"/>
        <v>-0.79135129999999998</v>
      </c>
      <c r="BP29" s="7"/>
    </row>
    <row r="30" spans="1:68" ht="15" thickBot="1" x14ac:dyDescent="0.35">
      <c r="A30" s="14" t="s">
        <v>41</v>
      </c>
      <c r="B30" s="8">
        <v>0.65139532142857159</v>
      </c>
      <c r="C30" s="15"/>
      <c r="D30" s="16" t="s">
        <v>41</v>
      </c>
      <c r="E30" s="16">
        <f>SUM(E3:E29)/27</f>
        <v>78.362477777777769</v>
      </c>
      <c r="F30" s="16">
        <f>SUM(F3:F29)/27</f>
        <v>0.68747657037037035</v>
      </c>
      <c r="G30" s="16">
        <f t="shared" ref="G30:L30" si="11">SUM(G3:G29)/27</f>
        <v>74.694066666666671</v>
      </c>
      <c r="H30" s="16">
        <f t="shared" si="11"/>
        <v>84.722682222222204</v>
      </c>
      <c r="I30" s="16">
        <f t="shared" si="11"/>
        <v>0.6426835481481481</v>
      </c>
      <c r="J30" s="16">
        <f t="shared" si="11"/>
        <v>74.405247777777774</v>
      </c>
      <c r="K30" s="16">
        <f>SUM(K3:K29)/27</f>
        <v>2.8949037037036972E-3</v>
      </c>
      <c r="L30" s="16">
        <f t="shared" si="11"/>
        <v>0</v>
      </c>
      <c r="M30" s="16">
        <f>F30-$B30</f>
        <v>3.608124894179876E-2</v>
      </c>
      <c r="N30" s="15"/>
      <c r="O30" s="14" t="s">
        <v>41</v>
      </c>
      <c r="P30" s="16">
        <f t="shared" ref="P30" si="12">SUM(P3:P29)/27</f>
        <v>85.752940370370368</v>
      </c>
      <c r="Q30" s="16">
        <f t="shared" ref="Q30" si="13">SUM(Q3:Q29)/27</f>
        <v>0.63178141111111119</v>
      </c>
      <c r="R30" s="16">
        <f t="shared" ref="R30" si="14">SUM(R3:R29)/27</f>
        <v>74.352379629629638</v>
      </c>
      <c r="S30" s="16">
        <f t="shared" ref="S30" si="15">SUM(S3:S29)/27</f>
        <v>93.258031851851868</v>
      </c>
      <c r="T30" s="16">
        <f t="shared" ref="T30" si="16">SUM(T3:T29)/27</f>
        <v>0.58766307407407414</v>
      </c>
      <c r="U30" s="16">
        <f t="shared" ref="U30:W30" si="17">SUM(U3:U29)/27</f>
        <v>74.039963333333347</v>
      </c>
      <c r="V30" s="16">
        <f t="shared" si="17"/>
        <v>-5.280025555555555E-2</v>
      </c>
      <c r="W30" s="16">
        <f t="shared" si="17"/>
        <v>-5.5695159259259261E-2</v>
      </c>
      <c r="X30" s="16">
        <f>Q30-$B30</f>
        <v>-1.9613910317460403E-2</v>
      </c>
      <c r="Y30" s="24"/>
      <c r="Z30" s="14" t="s">
        <v>41</v>
      </c>
      <c r="AA30" s="16">
        <f t="shared" ref="AA30" si="18">SUM(AA3:AA29)/27</f>
        <v>108.31853629629633</v>
      </c>
      <c r="AB30" s="16">
        <f t="shared" ref="AB30" si="19">SUM(AB3:AB29)/27</f>
        <v>0.5225164000000001</v>
      </c>
      <c r="AC30" s="16">
        <f t="shared" ref="AC30" si="20">SUM(AC3:AC29)/27</f>
        <v>73.490810740740756</v>
      </c>
      <c r="AD30" s="16">
        <f t="shared" ref="AD30" si="21">SUM(AD3:AD29)/27</f>
        <v>120.06816481481485</v>
      </c>
      <c r="AE30" s="16">
        <f t="shared" ref="AE30" si="22">SUM(AE3:AE29)/27</f>
        <v>0.4796735962962963</v>
      </c>
      <c r="AF30" s="16">
        <f t="shared" ref="AF30:AH30" si="23">SUM(AF3:AF29)/27</f>
        <v>73.107038148148149</v>
      </c>
      <c r="AG30" s="16">
        <f t="shared" si="23"/>
        <v>-0.16206526666666668</v>
      </c>
      <c r="AH30" s="16">
        <f t="shared" si="23"/>
        <v>-0.16496017037037036</v>
      </c>
      <c r="AI30" s="16">
        <f>AB30-$B30</f>
        <v>-0.12887892142857149</v>
      </c>
      <c r="AJ30" s="24"/>
      <c r="AK30" s="14" t="s">
        <v>41</v>
      </c>
      <c r="AL30" s="16">
        <f t="shared" ref="AL30" si="24">SUM(AL3:AL29)/27</f>
        <v>136.43655962962967</v>
      </c>
      <c r="AM30" s="16">
        <f t="shared" ref="AM30" si="25">SUM(AM3:AM29)/27</f>
        <v>0.43593146296296298</v>
      </c>
      <c r="AN30" s="16">
        <f t="shared" ref="AN30" si="26">SUM(AN3:AN29)/27</f>
        <v>72.653102962962961</v>
      </c>
      <c r="AO30" s="16">
        <f t="shared" ref="AO30" si="27">SUM(AO3:AO29)/27</f>
        <v>154.85117296296298</v>
      </c>
      <c r="AP30" s="16">
        <f t="shared" ref="AP30" si="28">SUM(AP3:AP29)/27</f>
        <v>0.39486698888888877</v>
      </c>
      <c r="AQ30" s="16">
        <f t="shared" ref="AQ30:AS30" si="29">SUM(AQ3:AQ29)/27</f>
        <v>72.183535555555565</v>
      </c>
      <c r="AR30" s="16">
        <f t="shared" si="29"/>
        <v>-0.24865020370370378</v>
      </c>
      <c r="AS30" s="16">
        <f t="shared" si="29"/>
        <v>-0.25154510740740738</v>
      </c>
      <c r="AT30" s="16">
        <f>AM30-$B30</f>
        <v>-0.21546385846560862</v>
      </c>
      <c r="AU30" s="24"/>
      <c r="AV30" s="14" t="s">
        <v>41</v>
      </c>
      <c r="AW30" s="16">
        <f t="shared" ref="AW30" si="30">SUM(AW3:AW29)/27</f>
        <v>141.04969518518519</v>
      </c>
      <c r="AX30" s="16">
        <f t="shared" ref="AX30" si="31">SUM(AX3:AX29)/27</f>
        <v>0.42387624444444444</v>
      </c>
      <c r="AY30" s="16">
        <f t="shared" ref="AY30" si="32">SUM(AY3:AY29)/27</f>
        <v>72.526356296296285</v>
      </c>
      <c r="AZ30" s="16">
        <f t="shared" ref="AZ30" si="33">SUM(AZ3:AZ29)/27</f>
        <v>160.85729518518517</v>
      </c>
      <c r="BA30" s="16">
        <f t="shared" ref="BA30" si="34">SUM(BA3:BA29)/27</f>
        <v>0.38259422222222217</v>
      </c>
      <c r="BB30" s="16">
        <f t="shared" ref="BB30:BD30" si="35">SUM(BB3:BB29)/27</f>
        <v>72.038058888888898</v>
      </c>
      <c r="BC30" s="16">
        <f t="shared" si="35"/>
        <v>-0.53612375555555547</v>
      </c>
      <c r="BD30" s="16">
        <f t="shared" si="35"/>
        <v>-0.53487425555555546</v>
      </c>
      <c r="BE30" s="16">
        <f>AX30-$B30</f>
        <v>-0.22751907698412716</v>
      </c>
      <c r="BF30" s="24"/>
      <c r="BG30" s="14" t="s">
        <v>41</v>
      </c>
      <c r="BH30" s="16">
        <f t="shared" ref="BH30:BO30" si="36">SUM(BH3:BH29)/27</f>
        <v>171.11648444444441</v>
      </c>
      <c r="BI30" s="16">
        <f t="shared" si="36"/>
        <v>0.35663581481481477</v>
      </c>
      <c r="BJ30" s="16">
        <f t="shared" si="36"/>
        <v>71.785804444444452</v>
      </c>
      <c r="BK30" s="16">
        <f t="shared" si="36"/>
        <v>199.96123407407416</v>
      </c>
      <c r="BL30" s="16">
        <f t="shared" si="36"/>
        <v>0.31655218148148151</v>
      </c>
      <c r="BM30" s="16">
        <f t="shared" si="36"/>
        <v>71.202460000000002</v>
      </c>
      <c r="BN30" s="16">
        <f t="shared" si="36"/>
        <v>-0.60336418518518498</v>
      </c>
      <c r="BO30" s="16">
        <f t="shared" si="36"/>
        <v>-0.60211468518518507</v>
      </c>
      <c r="BP30" s="16">
        <f>BI30-$B30</f>
        <v>-0.29475950661375683</v>
      </c>
    </row>
    <row r="31" spans="1:68" s="6" customFormat="1" ht="15" thickBot="1" x14ac:dyDescent="0.35">
      <c r="A31" s="26" t="s">
        <v>44</v>
      </c>
      <c r="B31" s="2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</row>
    <row r="32" spans="1:68" s="18" customFormat="1" x14ac:dyDescent="0.3">
      <c r="A32" s="17" t="s">
        <v>14</v>
      </c>
      <c r="B32" s="10">
        <v>0.96</v>
      </c>
      <c r="C32" s="19"/>
      <c r="D32" s="17" t="s">
        <v>14</v>
      </c>
      <c r="E32" s="17">
        <v>61.885559999999998</v>
      </c>
      <c r="F32" s="17">
        <v>0.95720079999999996</v>
      </c>
      <c r="G32" s="17">
        <v>66.379739999999998</v>
      </c>
      <c r="H32" s="17">
        <v>65.637690000000006</v>
      </c>
      <c r="I32" s="17">
        <v>0.90256519999999996</v>
      </c>
      <c r="J32" s="17">
        <v>66.124489999999994</v>
      </c>
      <c r="K32" s="20">
        <f t="shared" ref="K32:K49" si="37">F32-B32</f>
        <v>-2.7992000000000017E-3</v>
      </c>
      <c r="L32" s="17">
        <v>0</v>
      </c>
      <c r="M32" s="17"/>
      <c r="N32" s="19"/>
      <c r="O32" s="17" t="s">
        <v>14</v>
      </c>
      <c r="P32" s="17">
        <v>68.055760000000006</v>
      </c>
      <c r="Q32" s="17">
        <v>0.8681719</v>
      </c>
      <c r="R32" s="17">
        <v>65.96763</v>
      </c>
      <c r="S32" s="17">
        <v>72.51182</v>
      </c>
      <c r="T32" s="17">
        <v>0.81489239999999996</v>
      </c>
      <c r="U32" s="17">
        <v>65.692570000000003</v>
      </c>
      <c r="V32" s="17">
        <f t="shared" ref="V32:V49" si="38">Q32-$B32</f>
        <v>-9.1828099999999968E-2</v>
      </c>
      <c r="W32" s="17">
        <f t="shared" ref="W32:W49" si="39">Q32-$F32</f>
        <v>-8.9028899999999966E-2</v>
      </c>
      <c r="X32" s="17"/>
      <c r="Y32" s="19"/>
      <c r="Z32" s="17" t="s">
        <v>14</v>
      </c>
      <c r="AA32" s="17">
        <v>81.226299999999995</v>
      </c>
      <c r="AB32" s="17">
        <v>0.72897339999999999</v>
      </c>
      <c r="AC32" s="17">
        <v>65.200310000000002</v>
      </c>
      <c r="AD32" s="17">
        <v>87.253479999999996</v>
      </c>
      <c r="AE32" s="17">
        <v>0.67867509999999998</v>
      </c>
      <c r="AF32" s="17">
        <v>64.88982</v>
      </c>
      <c r="AG32" s="17">
        <f t="shared" ref="AG32:AG49" si="40">AB32-$B32</f>
        <v>-0.23102659999999997</v>
      </c>
      <c r="AH32" s="17">
        <f t="shared" ref="AH32:AH49" si="41">AB32-$F32</f>
        <v>-0.22822739999999997</v>
      </c>
      <c r="AI32" s="17"/>
      <c r="AJ32" s="19"/>
      <c r="AK32" s="17" t="s">
        <v>14</v>
      </c>
      <c r="AL32" s="17">
        <v>96.863069999999993</v>
      </c>
      <c r="AM32" s="17">
        <v>0.60678730000000003</v>
      </c>
      <c r="AN32" s="17">
        <v>64.436580000000006</v>
      </c>
      <c r="AO32" s="17">
        <v>105.0055</v>
      </c>
      <c r="AP32" s="17">
        <v>0.55977889999999997</v>
      </c>
      <c r="AQ32" s="17">
        <v>64.086380000000005</v>
      </c>
      <c r="AR32" s="17">
        <f t="shared" ref="AR32:AR49" si="42">AM32-$B32</f>
        <v>-0.35321269999999994</v>
      </c>
      <c r="AS32" s="17">
        <f t="shared" ref="AS32:AS49" si="43">AM32-$F32</f>
        <v>-0.35041349999999993</v>
      </c>
      <c r="AT32" s="17"/>
      <c r="AU32" s="9"/>
      <c r="AV32" s="10" t="s">
        <v>14</v>
      </c>
      <c r="AW32" s="10">
        <v>98.562100000000001</v>
      </c>
      <c r="AX32" s="10">
        <v>0.59638910000000001</v>
      </c>
      <c r="AY32" s="10">
        <v>64.361140000000006</v>
      </c>
      <c r="AZ32" s="10">
        <v>107.008</v>
      </c>
      <c r="BA32" s="10">
        <v>0.54936010000000002</v>
      </c>
      <c r="BB32" s="7">
        <v>64.004409999999993</v>
      </c>
      <c r="BC32" s="17">
        <f t="shared" ref="BC32:BC49" si="44">AX32-$B$3</f>
        <v>-0.36361089999999996</v>
      </c>
      <c r="BD32" s="17">
        <f t="shared" ref="BD32:BD49" si="45">AX32-$F$3</f>
        <v>-0.36236139999999994</v>
      </c>
      <c r="BE32" s="17"/>
      <c r="BF32" s="9"/>
      <c r="BG32" s="10" t="s">
        <v>14</v>
      </c>
      <c r="BH32" s="10">
        <v>114.45050000000001</v>
      </c>
      <c r="BI32" s="10">
        <v>0.50884770000000001</v>
      </c>
      <c r="BJ32" s="10">
        <v>63.712690000000002</v>
      </c>
      <c r="BK32" s="10">
        <v>125.4576</v>
      </c>
      <c r="BL32" s="10">
        <v>0.46423829999999999</v>
      </c>
      <c r="BM32" s="7">
        <v>63.314219999999999</v>
      </c>
      <c r="BN32" s="17">
        <f t="shared" ref="BN32:BN49" si="46">BI32-$B$3</f>
        <v>-0.45115229999999995</v>
      </c>
      <c r="BO32" s="17">
        <f t="shared" ref="BO32:BO49" si="47">BI32-$F$3</f>
        <v>-0.44990279999999994</v>
      </c>
      <c r="BP32" s="17"/>
    </row>
    <row r="33" spans="1:68" x14ac:dyDescent="0.3">
      <c r="A33" s="10" t="s">
        <v>15</v>
      </c>
      <c r="B33" s="10">
        <v>0.96</v>
      </c>
      <c r="D33" s="10" t="s">
        <v>15</v>
      </c>
      <c r="E33" s="10">
        <v>61.885559999999998</v>
      </c>
      <c r="F33" s="10">
        <v>0.95644589999999996</v>
      </c>
      <c r="G33" s="10">
        <v>67.376310000000004</v>
      </c>
      <c r="H33" s="10">
        <v>65.637690000000006</v>
      </c>
      <c r="I33" s="10">
        <v>0.90189399999999997</v>
      </c>
      <c r="J33" s="10">
        <v>67.121260000000007</v>
      </c>
      <c r="K33" s="1">
        <f t="shared" si="37"/>
        <v>-3.5541000000000045E-3</v>
      </c>
      <c r="L33" s="7">
        <v>0</v>
      </c>
      <c r="M33" s="7"/>
      <c r="O33" s="10" t="s">
        <v>15</v>
      </c>
      <c r="P33" s="10">
        <v>68.055760000000006</v>
      </c>
      <c r="Q33" s="10">
        <v>0.86755079999999996</v>
      </c>
      <c r="R33" s="10">
        <v>66.964519999999993</v>
      </c>
      <c r="S33" s="10">
        <v>72.51182</v>
      </c>
      <c r="T33" s="10">
        <v>0.81434519999999999</v>
      </c>
      <c r="U33" s="7">
        <v>66.68965</v>
      </c>
      <c r="V33" s="7">
        <f t="shared" si="38"/>
        <v>-9.2449200000000009E-2</v>
      </c>
      <c r="W33" s="7">
        <f t="shared" si="39"/>
        <v>-8.8895100000000005E-2</v>
      </c>
      <c r="X33" s="7"/>
      <c r="Y33" s="9"/>
      <c r="Z33" s="10" t="s">
        <v>15</v>
      </c>
      <c r="AA33" s="10">
        <v>81.226299999999995</v>
      </c>
      <c r="AB33" s="10">
        <v>0.72853540000000006</v>
      </c>
      <c r="AC33" s="10">
        <v>66.197699999999998</v>
      </c>
      <c r="AD33" s="10">
        <v>87.253479999999996</v>
      </c>
      <c r="AE33" s="10">
        <v>0.67829539999999999</v>
      </c>
      <c r="AF33" s="7">
        <v>65.887379999999993</v>
      </c>
      <c r="AG33" s="7">
        <f t="shared" si="40"/>
        <v>-0.23146459999999991</v>
      </c>
      <c r="AH33" s="7">
        <f t="shared" si="41"/>
        <v>-0.2279104999999999</v>
      </c>
      <c r="AI33" s="7"/>
      <c r="AJ33" s="9"/>
      <c r="AK33" s="10" t="s">
        <v>15</v>
      </c>
      <c r="AL33" s="10">
        <v>96.863069999999993</v>
      </c>
      <c r="AM33" s="10">
        <v>0.60648380000000002</v>
      </c>
      <c r="AN33" s="10">
        <v>65.434399999999997</v>
      </c>
      <c r="AO33" s="10">
        <v>105.0055</v>
      </c>
      <c r="AP33" s="10">
        <v>0.55952069999999998</v>
      </c>
      <c r="AQ33" s="10">
        <v>65.084370000000007</v>
      </c>
      <c r="AR33" s="7">
        <f t="shared" si="42"/>
        <v>-0.35351619999999995</v>
      </c>
      <c r="AS33" s="7">
        <f t="shared" si="43"/>
        <v>-0.34996209999999994</v>
      </c>
      <c r="AT33" s="7"/>
      <c r="AU33" s="9"/>
      <c r="AV33" s="10" t="s">
        <v>15</v>
      </c>
      <c r="AW33" s="10">
        <v>99.129499999999993</v>
      </c>
      <c r="AX33" s="10">
        <v>0.59268900000000002</v>
      </c>
      <c r="AY33" s="10">
        <v>65.334109999999995</v>
      </c>
      <c r="AZ33" s="10">
        <v>107.678</v>
      </c>
      <c r="BA33" s="10">
        <v>0.54569959999999995</v>
      </c>
      <c r="BB33" s="7">
        <v>64.975369999999998</v>
      </c>
      <c r="BC33" s="7">
        <f t="shared" si="44"/>
        <v>-0.36731099999999994</v>
      </c>
      <c r="BD33" s="7">
        <f t="shared" si="45"/>
        <v>-0.36606149999999993</v>
      </c>
      <c r="BE33" s="7"/>
      <c r="BF33" s="9"/>
      <c r="BG33" s="10" t="s">
        <v>15</v>
      </c>
      <c r="BH33" s="10">
        <v>117.4689</v>
      </c>
      <c r="BI33" s="10">
        <v>0.49558069999999999</v>
      </c>
      <c r="BJ33" s="10">
        <v>64.597949999999997</v>
      </c>
      <c r="BK33" s="10">
        <v>129.10390000000001</v>
      </c>
      <c r="BL33" s="10">
        <v>0.4509686</v>
      </c>
      <c r="BM33" s="7">
        <v>64.188280000000006</v>
      </c>
      <c r="BN33" s="7">
        <f t="shared" si="46"/>
        <v>-0.46441929999999998</v>
      </c>
      <c r="BO33" s="7">
        <f t="shared" si="47"/>
        <v>-0.46316979999999996</v>
      </c>
      <c r="BP33" s="7"/>
    </row>
    <row r="34" spans="1:68" x14ac:dyDescent="0.3">
      <c r="A34" s="10" t="s">
        <v>24</v>
      </c>
      <c r="B34" s="10">
        <v>0.75429000000000002</v>
      </c>
      <c r="D34" s="10" t="s">
        <v>24</v>
      </c>
      <c r="E34" s="10">
        <v>61.885559999999998</v>
      </c>
      <c r="F34" s="10">
        <v>0.95525369999999998</v>
      </c>
      <c r="G34" s="10">
        <v>68.370890000000003</v>
      </c>
      <c r="H34" s="10">
        <v>65.637690000000006</v>
      </c>
      <c r="I34" s="10">
        <v>0.90083369999999996</v>
      </c>
      <c r="J34" s="10">
        <v>68.116150000000005</v>
      </c>
      <c r="K34" s="1">
        <f t="shared" si="37"/>
        <v>0.20096369999999997</v>
      </c>
      <c r="L34" s="7">
        <v>0</v>
      </c>
      <c r="M34" s="7"/>
      <c r="O34" s="10" t="s">
        <v>24</v>
      </c>
      <c r="P34" s="10">
        <v>68.731129999999993</v>
      </c>
      <c r="Q34" s="10">
        <v>0.85808220000000002</v>
      </c>
      <c r="R34" s="10">
        <v>67.916849999999997</v>
      </c>
      <c r="S34" s="10">
        <v>73.280069999999995</v>
      </c>
      <c r="T34" s="10">
        <v>0.80497839999999998</v>
      </c>
      <c r="U34" s="7">
        <v>67.639399999999995</v>
      </c>
      <c r="V34" s="7">
        <f t="shared" si="38"/>
        <v>0.1037922</v>
      </c>
      <c r="W34" s="7">
        <f t="shared" si="39"/>
        <v>-9.7171499999999966E-2</v>
      </c>
      <c r="X34" s="7"/>
      <c r="Y34" s="9"/>
      <c r="Z34" s="10" t="s">
        <v>24</v>
      </c>
      <c r="AA34" s="10">
        <v>84.928139999999999</v>
      </c>
      <c r="AB34" s="10">
        <v>0.69620199999999999</v>
      </c>
      <c r="AC34" s="10">
        <v>67.000550000000004</v>
      </c>
      <c r="AD34" s="10">
        <v>91.550319999999999</v>
      </c>
      <c r="AE34" s="10">
        <v>0.64596640000000005</v>
      </c>
      <c r="AF34" s="7">
        <v>66.675290000000004</v>
      </c>
      <c r="AG34" s="7">
        <f t="shared" si="40"/>
        <v>-5.8088000000000028E-2</v>
      </c>
      <c r="AH34" s="7">
        <f t="shared" si="41"/>
        <v>-0.2590517</v>
      </c>
      <c r="AI34" s="7"/>
      <c r="AJ34" s="9"/>
      <c r="AK34" s="10" t="s">
        <v>24</v>
      </c>
      <c r="AL34" s="10">
        <v>104.6168</v>
      </c>
      <c r="AM34" s="10">
        <v>0.56118539999999995</v>
      </c>
      <c r="AN34" s="10">
        <v>66.097269999999995</v>
      </c>
      <c r="AO34" s="10">
        <v>114.19450000000001</v>
      </c>
      <c r="AP34" s="10">
        <v>0.51420929999999998</v>
      </c>
      <c r="AQ34" s="10">
        <v>65.717609999999993</v>
      </c>
      <c r="AR34" s="7">
        <f t="shared" si="42"/>
        <v>-0.19310460000000007</v>
      </c>
      <c r="AS34" s="7">
        <f t="shared" si="43"/>
        <v>-0.39406830000000004</v>
      </c>
      <c r="AT34" s="7"/>
      <c r="AU34" s="9"/>
      <c r="AV34" s="10" t="s">
        <v>24</v>
      </c>
      <c r="AW34" s="10">
        <v>108.1845</v>
      </c>
      <c r="AX34" s="10">
        <v>0.54276360000000001</v>
      </c>
      <c r="AY34" s="10">
        <v>65.951939999999993</v>
      </c>
      <c r="AZ34" s="10">
        <v>118.47190000000001</v>
      </c>
      <c r="BA34" s="10">
        <v>0.49572159999999998</v>
      </c>
      <c r="BB34" s="7">
        <v>65.558210000000003</v>
      </c>
      <c r="BC34" s="7">
        <f t="shared" si="44"/>
        <v>-0.41723639999999995</v>
      </c>
      <c r="BD34" s="7">
        <f t="shared" si="45"/>
        <v>-0.41598689999999994</v>
      </c>
      <c r="BE34" s="7"/>
      <c r="BF34" s="9"/>
      <c r="BG34" s="10" t="s">
        <v>24</v>
      </c>
      <c r="BH34" s="10">
        <v>133.19290000000001</v>
      </c>
      <c r="BI34" s="10">
        <v>0.43688969999999999</v>
      </c>
      <c r="BJ34" s="10">
        <v>65.050520000000006</v>
      </c>
      <c r="BK34" s="10">
        <v>148.4418</v>
      </c>
      <c r="BL34" s="10">
        <v>0.39207619999999999</v>
      </c>
      <c r="BM34" s="7">
        <v>64.580520000000007</v>
      </c>
      <c r="BN34" s="7">
        <f t="shared" si="46"/>
        <v>-0.52311029999999992</v>
      </c>
      <c r="BO34" s="7">
        <f t="shared" si="47"/>
        <v>-0.52186080000000001</v>
      </c>
      <c r="BP34" s="7"/>
    </row>
    <row r="35" spans="1:68" x14ac:dyDescent="0.3">
      <c r="A35" s="10" t="s">
        <v>16</v>
      </c>
      <c r="B35" s="10">
        <v>0.64614499999999997</v>
      </c>
      <c r="D35" s="10" t="s">
        <v>16</v>
      </c>
      <c r="E35" s="10">
        <v>64.886200000000002</v>
      </c>
      <c r="F35" s="10">
        <v>0.90990420000000005</v>
      </c>
      <c r="G35" s="10">
        <v>69.159670000000006</v>
      </c>
      <c r="H35" s="10">
        <v>69.02704</v>
      </c>
      <c r="I35" s="10">
        <v>0.855572</v>
      </c>
      <c r="J35" s="10">
        <v>68.892269999999996</v>
      </c>
      <c r="K35" s="1">
        <f t="shared" si="37"/>
        <v>0.26375920000000008</v>
      </c>
      <c r="L35" s="7">
        <v>0</v>
      </c>
      <c r="M35" s="7"/>
      <c r="O35" s="10" t="s">
        <v>16</v>
      </c>
      <c r="P35" s="10">
        <v>72.778080000000003</v>
      </c>
      <c r="Q35" s="10">
        <v>0.80946390000000001</v>
      </c>
      <c r="R35" s="10">
        <v>68.663539999999998</v>
      </c>
      <c r="S35" s="10">
        <v>77.906809999999993</v>
      </c>
      <c r="T35" s="10">
        <v>0.75639290000000003</v>
      </c>
      <c r="U35" s="7">
        <v>68.369050000000001</v>
      </c>
      <c r="V35" s="7">
        <f t="shared" si="38"/>
        <v>0.16331890000000004</v>
      </c>
      <c r="W35" s="7">
        <f t="shared" si="39"/>
        <v>-0.10044030000000004</v>
      </c>
      <c r="X35" s="7"/>
      <c r="Y35" s="9"/>
      <c r="Z35" s="10" t="s">
        <v>16</v>
      </c>
      <c r="AA35" s="10">
        <v>95.083370000000002</v>
      </c>
      <c r="AB35" s="10">
        <v>0.62140200000000001</v>
      </c>
      <c r="AC35" s="10">
        <v>67.506929999999997</v>
      </c>
      <c r="AD35" s="10">
        <v>103.5072</v>
      </c>
      <c r="AE35" s="10">
        <v>0.57098519999999997</v>
      </c>
      <c r="AF35" s="7">
        <v>67.139439999999993</v>
      </c>
      <c r="AG35" s="7">
        <f t="shared" si="40"/>
        <v>-2.4742999999999959E-2</v>
      </c>
      <c r="AH35" s="7">
        <f t="shared" si="41"/>
        <v>-0.28850220000000004</v>
      </c>
      <c r="AI35" s="7"/>
      <c r="AJ35" s="9"/>
      <c r="AK35" s="10" t="s">
        <v>16</v>
      </c>
      <c r="AL35" s="10">
        <v>122.9706</v>
      </c>
      <c r="AM35" s="10">
        <v>0.47721350000000001</v>
      </c>
      <c r="AN35" s="10">
        <v>66.393339999999995</v>
      </c>
      <c r="AO35" s="10">
        <v>136.51859999999999</v>
      </c>
      <c r="AP35" s="10">
        <v>0.42996479999999998</v>
      </c>
      <c r="AQ35" s="10">
        <v>65.940539999999999</v>
      </c>
      <c r="AR35" s="7">
        <f t="shared" si="42"/>
        <v>-0.16893149999999996</v>
      </c>
      <c r="AS35" s="7">
        <f t="shared" si="43"/>
        <v>-0.43269070000000004</v>
      </c>
      <c r="AT35" s="7"/>
      <c r="AU35" s="9"/>
      <c r="AV35" s="10" t="s">
        <v>16</v>
      </c>
      <c r="AW35" s="10">
        <v>128.63329999999999</v>
      </c>
      <c r="AX35" s="10">
        <v>0.45629639999999999</v>
      </c>
      <c r="AY35" s="10">
        <v>66.198310000000006</v>
      </c>
      <c r="AZ35" s="10">
        <v>143.56270000000001</v>
      </c>
      <c r="BA35" s="10">
        <v>0.40894979999999997</v>
      </c>
      <c r="BB35" s="7">
        <v>65.722539999999995</v>
      </c>
      <c r="BC35" s="7">
        <f t="shared" si="44"/>
        <v>-0.50370359999999992</v>
      </c>
      <c r="BD35" s="7">
        <f t="shared" si="45"/>
        <v>-0.50245410000000001</v>
      </c>
      <c r="BE35" s="7"/>
      <c r="BF35" s="9"/>
      <c r="BG35" s="10" t="s">
        <v>16</v>
      </c>
      <c r="BH35" s="10">
        <v>164.02889999999999</v>
      </c>
      <c r="BI35" s="10">
        <v>0.35466730000000002</v>
      </c>
      <c r="BJ35" s="10">
        <v>65.145030000000006</v>
      </c>
      <c r="BK35" s="10">
        <v>188.01560000000001</v>
      </c>
      <c r="BL35" s="10">
        <v>0.30949500000000002</v>
      </c>
      <c r="BM35" s="7">
        <v>64.553349999999995</v>
      </c>
      <c r="BN35" s="7">
        <f t="shared" si="46"/>
        <v>-0.60533269999999995</v>
      </c>
      <c r="BO35" s="7">
        <f t="shared" si="47"/>
        <v>-0.60408319999999993</v>
      </c>
      <c r="BP35" s="7"/>
    </row>
    <row r="36" spans="1:68" x14ac:dyDescent="0.3">
      <c r="A36" s="10" t="s">
        <v>17</v>
      </c>
      <c r="B36" s="10">
        <v>0.59955500000000006</v>
      </c>
      <c r="D36" s="10" t="s">
        <v>17</v>
      </c>
      <c r="E36" s="10">
        <v>64.886200000000002</v>
      </c>
      <c r="F36" s="10">
        <v>0.9082422</v>
      </c>
      <c r="G36" s="10">
        <v>70.151719999999997</v>
      </c>
      <c r="H36" s="10">
        <v>69.02704</v>
      </c>
      <c r="I36" s="10">
        <v>0.85410240000000004</v>
      </c>
      <c r="J36" s="10">
        <v>69.884799999999998</v>
      </c>
      <c r="K36" s="1">
        <f t="shared" si="37"/>
        <v>0.30868719999999994</v>
      </c>
      <c r="L36" s="7">
        <v>0</v>
      </c>
      <c r="M36" s="7"/>
      <c r="O36" s="10" t="s">
        <v>17</v>
      </c>
      <c r="P36" s="10">
        <v>73.791420000000002</v>
      </c>
      <c r="Q36" s="10">
        <v>0.79711600000000005</v>
      </c>
      <c r="R36" s="10">
        <v>69.596779999999995</v>
      </c>
      <c r="S36" s="10">
        <v>79.070359999999994</v>
      </c>
      <c r="T36" s="10">
        <v>0.74419159999999995</v>
      </c>
      <c r="U36" s="7">
        <v>69.298410000000004</v>
      </c>
      <c r="V36" s="7">
        <f t="shared" si="38"/>
        <v>0.19756099999999999</v>
      </c>
      <c r="W36" s="7">
        <f t="shared" si="39"/>
        <v>-0.11112619999999995</v>
      </c>
      <c r="X36" s="7"/>
      <c r="Y36" s="9"/>
      <c r="Z36" s="10" t="s">
        <v>17</v>
      </c>
      <c r="AA36" s="10">
        <v>100.6337</v>
      </c>
      <c r="AB36" s="10">
        <v>0.58654539999999999</v>
      </c>
      <c r="AC36" s="10">
        <v>68.256209999999996</v>
      </c>
      <c r="AD36" s="10">
        <v>110.13639999999999</v>
      </c>
      <c r="AE36" s="10">
        <v>0.536138</v>
      </c>
      <c r="AF36" s="7">
        <v>67.865960000000001</v>
      </c>
      <c r="AG36" s="7">
        <f t="shared" si="40"/>
        <v>-1.3009600000000066E-2</v>
      </c>
      <c r="AH36" s="7">
        <f t="shared" si="41"/>
        <v>-0.3216968</v>
      </c>
      <c r="AI36" s="7"/>
      <c r="AJ36" s="9"/>
      <c r="AK36" s="10" t="s">
        <v>17</v>
      </c>
      <c r="AL36" s="10">
        <v>134.6019</v>
      </c>
      <c r="AM36" s="10">
        <v>0.43569099999999999</v>
      </c>
      <c r="AN36" s="10">
        <v>66.997990000000001</v>
      </c>
      <c r="AO36" s="10">
        <v>151.0633</v>
      </c>
      <c r="AP36" s="10">
        <v>0.38835019999999998</v>
      </c>
      <c r="AQ36" s="10">
        <v>66.498440000000002</v>
      </c>
      <c r="AR36" s="7">
        <f t="shared" si="42"/>
        <v>-0.16386400000000007</v>
      </c>
      <c r="AS36" s="7">
        <f t="shared" si="43"/>
        <v>-0.4725512</v>
      </c>
      <c r="AT36" s="7"/>
      <c r="AU36" s="9"/>
      <c r="AV36" s="10" t="s">
        <v>17</v>
      </c>
      <c r="AW36" s="10">
        <v>140.26300000000001</v>
      </c>
      <c r="AX36" s="10">
        <v>0.41819659999999997</v>
      </c>
      <c r="AY36" s="10">
        <v>66.819640000000007</v>
      </c>
      <c r="AZ36" s="10">
        <v>158.26830000000001</v>
      </c>
      <c r="BA36" s="10">
        <v>0.37075130000000001</v>
      </c>
      <c r="BB36" s="7">
        <v>66.296660000000003</v>
      </c>
      <c r="BC36" s="7">
        <f t="shared" si="44"/>
        <v>-0.54180340000000005</v>
      </c>
      <c r="BD36" s="7">
        <f t="shared" si="45"/>
        <v>-0.54055389999999992</v>
      </c>
      <c r="BE36" s="7"/>
      <c r="BF36" s="9"/>
      <c r="BG36" s="10" t="s">
        <v>17</v>
      </c>
      <c r="BH36" s="10">
        <v>177.21209999999999</v>
      </c>
      <c r="BI36" s="10">
        <v>0.32811289999999999</v>
      </c>
      <c r="BJ36" s="10">
        <v>65.807040000000001</v>
      </c>
      <c r="BK36" s="10">
        <v>205.68299999999999</v>
      </c>
      <c r="BL36" s="10">
        <v>0.28279019999999999</v>
      </c>
      <c r="BM36" s="7">
        <v>65.161450000000002</v>
      </c>
      <c r="BN36" s="7">
        <f t="shared" si="46"/>
        <v>-0.63188709999999992</v>
      </c>
      <c r="BO36" s="7">
        <f t="shared" si="47"/>
        <v>-0.63063760000000002</v>
      </c>
      <c r="BP36" s="7"/>
    </row>
    <row r="37" spans="1:68" x14ac:dyDescent="0.3">
      <c r="A37" s="10" t="s">
        <v>18</v>
      </c>
      <c r="B37" s="10">
        <v>0.56536500000000001</v>
      </c>
      <c r="D37" s="10" t="s">
        <v>18</v>
      </c>
      <c r="E37" s="10">
        <v>64.886200000000002</v>
      </c>
      <c r="F37" s="10">
        <v>0.90622440000000004</v>
      </c>
      <c r="G37" s="10">
        <v>71.142060000000001</v>
      </c>
      <c r="H37" s="10">
        <v>69.02704</v>
      </c>
      <c r="I37" s="10">
        <v>0.85231780000000001</v>
      </c>
      <c r="J37" s="10">
        <v>70.875720000000001</v>
      </c>
      <c r="K37" s="1">
        <f t="shared" si="37"/>
        <v>0.34085940000000003</v>
      </c>
      <c r="L37" s="7">
        <v>0</v>
      </c>
      <c r="M37" s="7"/>
      <c r="O37" s="10" t="s">
        <v>18</v>
      </c>
      <c r="P37" s="10">
        <v>74.264089999999996</v>
      </c>
      <c r="Q37" s="10">
        <v>0.79053720000000005</v>
      </c>
      <c r="R37" s="10">
        <v>70.560789999999997</v>
      </c>
      <c r="S37" s="10">
        <v>79.614540000000005</v>
      </c>
      <c r="T37" s="10">
        <v>0.7377958</v>
      </c>
      <c r="U37" s="7">
        <v>70.260930000000002</v>
      </c>
      <c r="V37" s="7">
        <f>Q37-$B37</f>
        <v>0.22517220000000004</v>
      </c>
      <c r="W37" s="7">
        <f t="shared" si="39"/>
        <v>-0.11568719999999999</v>
      </c>
      <c r="X37" s="7"/>
      <c r="Y37" s="9"/>
      <c r="Z37" s="10" t="s">
        <v>18</v>
      </c>
      <c r="AA37" s="10">
        <v>103.2268</v>
      </c>
      <c r="AB37" s="10">
        <v>0.57107289999999999</v>
      </c>
      <c r="AC37" s="10">
        <v>69.140110000000007</v>
      </c>
      <c r="AD37" s="10">
        <v>113.2586</v>
      </c>
      <c r="AE37" s="10">
        <v>0.52074969999999998</v>
      </c>
      <c r="AF37" s="7">
        <v>68.739490000000004</v>
      </c>
      <c r="AG37" s="7">
        <f t="shared" si="40"/>
        <v>5.707899999999988E-3</v>
      </c>
      <c r="AH37" s="7">
        <f t="shared" si="41"/>
        <v>-0.33515150000000005</v>
      </c>
      <c r="AI37" s="7"/>
      <c r="AJ37" s="9"/>
      <c r="AK37" s="10" t="s">
        <v>18</v>
      </c>
      <c r="AL37" s="10">
        <v>140.029</v>
      </c>
      <c r="AM37" s="10">
        <v>0.41842770000000001</v>
      </c>
      <c r="AN37" s="10">
        <v>67.822419999999994</v>
      </c>
      <c r="AO37" s="10">
        <v>157.97550000000001</v>
      </c>
      <c r="AP37" s="10">
        <v>0.37106679999999997</v>
      </c>
      <c r="AQ37" s="10">
        <v>67.300740000000005</v>
      </c>
      <c r="AR37" s="7">
        <f t="shared" si="42"/>
        <v>-0.14693729999999999</v>
      </c>
      <c r="AS37" s="7">
        <f t="shared" si="43"/>
        <v>-0.48779670000000003</v>
      </c>
      <c r="AT37" s="7"/>
      <c r="AU37" s="9"/>
      <c r="AV37" s="10" t="s">
        <v>18</v>
      </c>
      <c r="AW37" s="10">
        <v>145.69300000000001</v>
      </c>
      <c r="AX37" s="10">
        <v>0.4022598</v>
      </c>
      <c r="AY37" s="10">
        <v>67.650899999999993</v>
      </c>
      <c r="AZ37" s="10">
        <v>165.2593</v>
      </c>
      <c r="BA37" s="10">
        <v>0.3547997</v>
      </c>
      <c r="BB37" s="7">
        <v>67.105670000000003</v>
      </c>
      <c r="BC37" s="7">
        <f t="shared" si="44"/>
        <v>-0.55774020000000002</v>
      </c>
      <c r="BD37" s="7">
        <f t="shared" si="45"/>
        <v>-0.55649069999999989</v>
      </c>
      <c r="BE37" s="7"/>
      <c r="BF37" s="9"/>
      <c r="BG37" s="10" t="s">
        <v>18</v>
      </c>
      <c r="BH37" s="10">
        <v>183.36189999999999</v>
      </c>
      <c r="BI37" s="10">
        <v>0.3168878</v>
      </c>
      <c r="BJ37" s="10">
        <v>66.655869999999993</v>
      </c>
      <c r="BK37" s="10">
        <v>214.07910000000001</v>
      </c>
      <c r="BL37" s="10">
        <v>0.27154060000000002</v>
      </c>
      <c r="BM37" s="7">
        <v>65.985159999999993</v>
      </c>
      <c r="BN37" s="7">
        <f t="shared" si="46"/>
        <v>-0.64311220000000002</v>
      </c>
      <c r="BO37" s="7">
        <f t="shared" si="47"/>
        <v>-0.6418626999999999</v>
      </c>
      <c r="BP37" s="7"/>
    </row>
    <row r="38" spans="1:68" x14ac:dyDescent="0.3">
      <c r="A38" s="10" t="s">
        <v>19</v>
      </c>
      <c r="B38" s="10">
        <v>0.559805</v>
      </c>
      <c r="D38" s="10" t="s">
        <v>19</v>
      </c>
      <c r="E38" s="10">
        <v>103.3588</v>
      </c>
      <c r="F38" s="10">
        <v>0.56989259999999997</v>
      </c>
      <c r="G38" s="10">
        <v>70.127629999999996</v>
      </c>
      <c r="H38" s="10">
        <v>114.4448</v>
      </c>
      <c r="I38" s="10">
        <v>0.51504830000000001</v>
      </c>
      <c r="J38" s="10">
        <v>69.688180000000003</v>
      </c>
      <c r="K38" s="1">
        <f t="shared" si="37"/>
        <v>1.0087599999999974E-2</v>
      </c>
      <c r="L38" s="7">
        <v>0</v>
      </c>
      <c r="M38" s="7"/>
      <c r="O38" s="10" t="s">
        <v>19</v>
      </c>
      <c r="P38" s="10">
        <v>112.5089</v>
      </c>
      <c r="Q38" s="10">
        <v>0.52243240000000002</v>
      </c>
      <c r="R38" s="10">
        <v>69.761859999999999</v>
      </c>
      <c r="S38" s="10">
        <v>125.4508</v>
      </c>
      <c r="T38" s="10">
        <v>0.46885650000000001</v>
      </c>
      <c r="U38" s="7">
        <v>69.291960000000003</v>
      </c>
      <c r="V38" s="7">
        <f t="shared" si="38"/>
        <v>-3.7372599999999978E-2</v>
      </c>
      <c r="W38" s="7">
        <f t="shared" si="39"/>
        <v>-4.7460199999999952E-2</v>
      </c>
      <c r="X38" s="7"/>
      <c r="Y38" s="9"/>
      <c r="Z38" s="10" t="s">
        <v>19</v>
      </c>
      <c r="AA38" s="10">
        <v>142.58359999999999</v>
      </c>
      <c r="AB38" s="10">
        <v>0.41360530000000001</v>
      </c>
      <c r="AC38" s="10">
        <v>68.739050000000006</v>
      </c>
      <c r="AD38" s="10">
        <v>162.75139999999999</v>
      </c>
      <c r="AE38" s="10">
        <v>0.3625873</v>
      </c>
      <c r="AF38" s="7">
        <v>68.167310000000001</v>
      </c>
      <c r="AG38" s="7">
        <f t="shared" si="40"/>
        <v>-0.14619969999999999</v>
      </c>
      <c r="AH38" s="7">
        <f t="shared" si="41"/>
        <v>-0.15628729999999996</v>
      </c>
      <c r="AI38" s="7"/>
      <c r="AJ38" s="9"/>
      <c r="AK38" s="10" t="s">
        <v>19</v>
      </c>
      <c r="AL38" s="10">
        <v>180.2569</v>
      </c>
      <c r="AM38" s="10">
        <v>0.32505060000000002</v>
      </c>
      <c r="AN38" s="10">
        <v>67.725719999999995</v>
      </c>
      <c r="AO38" s="10">
        <v>211.61259999999999</v>
      </c>
      <c r="AP38" s="10">
        <v>0.277055</v>
      </c>
      <c r="AQ38" s="10">
        <v>67.031869999999998</v>
      </c>
      <c r="AR38" s="7">
        <f t="shared" si="42"/>
        <v>-0.23475439999999997</v>
      </c>
      <c r="AS38" s="7">
        <f t="shared" si="43"/>
        <v>-0.24484199999999995</v>
      </c>
      <c r="AT38" s="7"/>
      <c r="AU38" s="9"/>
      <c r="AV38" s="10" t="s">
        <v>19</v>
      </c>
      <c r="AW38" s="10">
        <v>185.9177</v>
      </c>
      <c r="AX38" s="10">
        <v>0.3152199</v>
      </c>
      <c r="AY38" s="10">
        <v>67.591970000000003</v>
      </c>
      <c r="AZ38" s="10">
        <v>219.54069999999999</v>
      </c>
      <c r="BA38" s="10">
        <v>0.26710660000000003</v>
      </c>
      <c r="BB38" s="7">
        <v>66.872680000000003</v>
      </c>
      <c r="BC38" s="7">
        <f t="shared" si="44"/>
        <v>-0.64478009999999997</v>
      </c>
      <c r="BD38" s="7">
        <f t="shared" si="45"/>
        <v>-0.64353059999999995</v>
      </c>
      <c r="BE38" s="7"/>
      <c r="BF38" s="9"/>
      <c r="BG38" s="10" t="s">
        <v>19</v>
      </c>
      <c r="BH38" s="10">
        <v>223.18260000000001</v>
      </c>
      <c r="BI38" s="10">
        <v>0.26030330000000002</v>
      </c>
      <c r="BJ38" s="10">
        <v>66.801609999999997</v>
      </c>
      <c r="BK38" s="10">
        <v>271.21010000000001</v>
      </c>
      <c r="BL38" s="10">
        <v>0.2143322</v>
      </c>
      <c r="BM38" s="7">
        <v>65.957679999999996</v>
      </c>
      <c r="BN38" s="7">
        <f t="shared" si="46"/>
        <v>-0.69969669999999995</v>
      </c>
      <c r="BO38" s="7">
        <f t="shared" si="47"/>
        <v>-0.69844719999999993</v>
      </c>
      <c r="BP38" s="7"/>
    </row>
    <row r="39" spans="1:68" x14ac:dyDescent="0.3">
      <c r="A39" s="10" t="s">
        <v>20</v>
      </c>
      <c r="B39" s="10">
        <v>0.6475200000000001</v>
      </c>
      <c r="D39" s="10" t="s">
        <v>20</v>
      </c>
      <c r="E39" s="10">
        <v>103.3588</v>
      </c>
      <c r="F39" s="10">
        <v>0.56899619999999995</v>
      </c>
      <c r="G39" s="10">
        <v>71.120800000000003</v>
      </c>
      <c r="H39" s="10">
        <v>114.4448</v>
      </c>
      <c r="I39" s="10">
        <v>0.514316</v>
      </c>
      <c r="J39" s="10">
        <v>70.682010000000005</v>
      </c>
      <c r="K39" s="1">
        <f t="shared" si="37"/>
        <v>-7.8523800000000143E-2</v>
      </c>
      <c r="L39" s="7">
        <v>0</v>
      </c>
      <c r="M39" s="7"/>
      <c r="O39" s="10" t="s">
        <v>20</v>
      </c>
      <c r="P39" s="10">
        <v>112.8468</v>
      </c>
      <c r="Q39" s="10">
        <v>0.52012959999999997</v>
      </c>
      <c r="R39" s="10">
        <v>70.742679999999993</v>
      </c>
      <c r="S39" s="10">
        <v>125.87260000000001</v>
      </c>
      <c r="T39" s="10">
        <v>0.46669149999999998</v>
      </c>
      <c r="U39" s="7">
        <v>70.271870000000007</v>
      </c>
      <c r="V39" s="7">
        <f t="shared" si="38"/>
        <v>-0.12739040000000013</v>
      </c>
      <c r="W39" s="7">
        <f t="shared" si="39"/>
        <v>-4.8866599999999982E-2</v>
      </c>
      <c r="X39" s="7"/>
      <c r="Y39" s="9"/>
      <c r="Z39" s="10" t="s">
        <v>20</v>
      </c>
      <c r="AA39" s="10">
        <v>144.42850000000001</v>
      </c>
      <c r="AB39" s="10">
        <v>0.4078888</v>
      </c>
      <c r="AC39" s="10">
        <v>69.678610000000006</v>
      </c>
      <c r="AD39" s="10">
        <v>165.18790000000001</v>
      </c>
      <c r="AE39" s="10">
        <v>0.35691099999999998</v>
      </c>
      <c r="AF39" s="7">
        <v>69.098789999999994</v>
      </c>
      <c r="AG39" s="7">
        <f t="shared" si="40"/>
        <v>-0.2396312000000001</v>
      </c>
      <c r="AH39" s="7">
        <f t="shared" si="41"/>
        <v>-0.16110739999999996</v>
      </c>
      <c r="AI39" s="7"/>
      <c r="AJ39" s="9"/>
      <c r="AK39" s="10" t="s">
        <v>20</v>
      </c>
      <c r="AL39" s="10">
        <v>184.12899999999999</v>
      </c>
      <c r="AM39" s="10">
        <v>0.31796269999999999</v>
      </c>
      <c r="AN39" s="10">
        <v>68.62997</v>
      </c>
      <c r="AO39" s="10">
        <v>217.01300000000001</v>
      </c>
      <c r="AP39" s="10">
        <v>0.26998230000000001</v>
      </c>
      <c r="AQ39" s="10">
        <v>67.919560000000004</v>
      </c>
      <c r="AR39" s="7">
        <f t="shared" si="42"/>
        <v>-0.32955730000000011</v>
      </c>
      <c r="AS39" s="7">
        <f t="shared" si="43"/>
        <v>-0.25103349999999997</v>
      </c>
      <c r="AT39" s="7"/>
      <c r="AU39" s="9"/>
      <c r="AV39" s="10" t="s">
        <v>20</v>
      </c>
      <c r="AW39" s="10">
        <v>184.12899999999999</v>
      </c>
      <c r="AX39" s="10">
        <v>0.31798999999999999</v>
      </c>
      <c r="AY39" s="10">
        <v>68.62997</v>
      </c>
      <c r="AZ39" s="10">
        <v>217.01310000000001</v>
      </c>
      <c r="BA39" s="10">
        <v>0.27000540000000001</v>
      </c>
      <c r="BB39" s="7">
        <v>67.919560000000004</v>
      </c>
      <c r="BC39" s="7">
        <f t="shared" si="44"/>
        <v>-0.64200999999999997</v>
      </c>
      <c r="BD39" s="7">
        <f t="shared" si="45"/>
        <v>-0.64076049999999996</v>
      </c>
      <c r="BE39" s="7"/>
      <c r="BF39" s="9"/>
      <c r="BG39" s="10" t="s">
        <v>20</v>
      </c>
      <c r="BH39" s="10">
        <v>197.41329999999999</v>
      </c>
      <c r="BI39" s="10">
        <v>0.29391659999999997</v>
      </c>
      <c r="BJ39" s="10">
        <v>68.329049999999995</v>
      </c>
      <c r="BK39" s="10">
        <v>233.69110000000001</v>
      </c>
      <c r="BL39" s="10">
        <v>0.2484642</v>
      </c>
      <c r="BM39" s="7">
        <v>67.599450000000004</v>
      </c>
      <c r="BN39" s="7">
        <f t="shared" si="46"/>
        <v>-0.66608339999999999</v>
      </c>
      <c r="BO39" s="7">
        <f t="shared" si="47"/>
        <v>-0.66483389999999998</v>
      </c>
      <c r="BP39" s="7"/>
    </row>
    <row r="40" spans="1:68" x14ac:dyDescent="0.3">
      <c r="A40" s="10" t="s">
        <v>21</v>
      </c>
      <c r="B40" s="10">
        <v>0.6769750000000001</v>
      </c>
      <c r="D40" s="10" t="s">
        <v>21</v>
      </c>
      <c r="E40" s="10">
        <v>103.3588</v>
      </c>
      <c r="F40" s="10">
        <v>0.56801040000000003</v>
      </c>
      <c r="G40" s="10">
        <v>72.11327</v>
      </c>
      <c r="H40" s="10">
        <v>114.4448</v>
      </c>
      <c r="I40" s="10">
        <v>0.51351040000000003</v>
      </c>
      <c r="J40" s="10">
        <v>71.675200000000004</v>
      </c>
      <c r="K40" s="1">
        <f t="shared" si="37"/>
        <v>-0.10896460000000008</v>
      </c>
      <c r="L40" s="7">
        <v>0</v>
      </c>
      <c r="M40" s="7"/>
      <c r="O40" s="10" t="s">
        <v>21</v>
      </c>
      <c r="P40" s="10">
        <v>112.8468</v>
      </c>
      <c r="Q40" s="10">
        <v>0.51930569999999998</v>
      </c>
      <c r="R40" s="10">
        <v>71.735799999999998</v>
      </c>
      <c r="S40" s="10">
        <v>125.87260000000001</v>
      </c>
      <c r="T40" s="10">
        <v>0.4660282</v>
      </c>
      <c r="U40" s="7">
        <v>71.265690000000006</v>
      </c>
      <c r="V40" s="7">
        <f t="shared" si="38"/>
        <v>-0.15766930000000012</v>
      </c>
      <c r="W40" s="7">
        <f t="shared" si="39"/>
        <v>-4.8704700000000045E-2</v>
      </c>
      <c r="X40" s="7"/>
      <c r="Y40" s="9"/>
      <c r="Z40" s="10" t="s">
        <v>21</v>
      </c>
      <c r="AA40" s="10">
        <v>144.42850000000001</v>
      </c>
      <c r="AB40" s="10">
        <v>0.40738200000000002</v>
      </c>
      <c r="AC40" s="10">
        <v>70.673220000000001</v>
      </c>
      <c r="AD40" s="10">
        <v>165.18790000000001</v>
      </c>
      <c r="AE40" s="10">
        <v>0.35652289999999998</v>
      </c>
      <c r="AF40" s="7">
        <v>70.094070000000002</v>
      </c>
      <c r="AG40" s="7">
        <f t="shared" si="40"/>
        <v>-0.26959300000000008</v>
      </c>
      <c r="AH40" s="7">
        <f t="shared" si="41"/>
        <v>-0.1606284</v>
      </c>
      <c r="AI40" s="7"/>
      <c r="AJ40" s="9"/>
      <c r="AK40" s="10" t="s">
        <v>21</v>
      </c>
      <c r="AL40" s="10">
        <v>184.12899999999999</v>
      </c>
      <c r="AM40" s="10">
        <v>0.31765470000000001</v>
      </c>
      <c r="AN40" s="10">
        <v>69.625770000000003</v>
      </c>
      <c r="AO40" s="10">
        <v>217.01300000000001</v>
      </c>
      <c r="AP40" s="10">
        <v>0.2697601</v>
      </c>
      <c r="AQ40" s="10">
        <v>68.915989999999994</v>
      </c>
      <c r="AR40" s="7">
        <f t="shared" si="42"/>
        <v>-0.35932030000000009</v>
      </c>
      <c r="AS40" s="7">
        <f t="shared" si="43"/>
        <v>-0.25035570000000001</v>
      </c>
      <c r="AT40" s="7"/>
      <c r="AU40" s="9"/>
      <c r="AV40" s="10" t="s">
        <v>21</v>
      </c>
      <c r="AW40" s="10">
        <v>189.79130000000001</v>
      </c>
      <c r="AX40" s="10">
        <v>0.30825799999999998</v>
      </c>
      <c r="AY40" s="10">
        <v>69.494990000000001</v>
      </c>
      <c r="AZ40" s="10">
        <v>225.00489999999999</v>
      </c>
      <c r="BA40" s="10">
        <v>0.26024700000000001</v>
      </c>
      <c r="BB40" s="7">
        <v>68.759699999999995</v>
      </c>
      <c r="BC40" s="7">
        <f t="shared" si="44"/>
        <v>-0.65174200000000004</v>
      </c>
      <c r="BD40" s="7">
        <f t="shared" si="45"/>
        <v>-0.65049249999999992</v>
      </c>
      <c r="BE40" s="7"/>
      <c r="BF40" s="9"/>
      <c r="BG40" s="10" t="s">
        <v>21</v>
      </c>
      <c r="BH40" s="10">
        <v>227.5814</v>
      </c>
      <c r="BI40" s="10">
        <v>0.25491000000000003</v>
      </c>
      <c r="BJ40" s="10">
        <v>68.710679999999996</v>
      </c>
      <c r="BK40" s="10">
        <v>277.82659999999998</v>
      </c>
      <c r="BL40" s="10">
        <v>0.20898710000000001</v>
      </c>
      <c r="BM40" s="7">
        <v>67.848010000000002</v>
      </c>
      <c r="BN40" s="7">
        <f t="shared" si="46"/>
        <v>-0.70508999999999999</v>
      </c>
      <c r="BO40" s="7">
        <f t="shared" si="47"/>
        <v>-0.70384049999999987</v>
      </c>
      <c r="BP40" s="7"/>
    </row>
    <row r="41" spans="1:68" x14ac:dyDescent="0.3">
      <c r="A41" s="10" t="s">
        <v>22</v>
      </c>
      <c r="B41" s="10">
        <v>0.69895499999999999</v>
      </c>
      <c r="D41" s="10" t="s">
        <v>22</v>
      </c>
      <c r="E41" s="10">
        <v>86.461920000000006</v>
      </c>
      <c r="F41" s="10">
        <v>0.67597039999999997</v>
      </c>
      <c r="G41" s="10">
        <v>73.868979999999993</v>
      </c>
      <c r="H41" s="10">
        <v>94.035790000000006</v>
      </c>
      <c r="I41" s="10">
        <v>0.6222742</v>
      </c>
      <c r="J41" s="10">
        <v>73.509519999999995</v>
      </c>
      <c r="K41" s="1">
        <f t="shared" si="37"/>
        <v>-2.2984600000000022E-2</v>
      </c>
      <c r="L41" s="7">
        <v>0</v>
      </c>
      <c r="M41" s="7"/>
      <c r="O41" s="10" t="s">
        <v>22</v>
      </c>
      <c r="P41" s="10">
        <v>95.943110000000004</v>
      </c>
      <c r="Q41" s="10">
        <v>0.60842870000000004</v>
      </c>
      <c r="R41" s="10">
        <v>73.423659999999998</v>
      </c>
      <c r="S41" s="10">
        <v>105.13890000000001</v>
      </c>
      <c r="T41" s="10">
        <v>0.55586650000000004</v>
      </c>
      <c r="U41" s="7">
        <v>73.031270000000006</v>
      </c>
      <c r="V41" s="7">
        <f t="shared" si="38"/>
        <v>-9.0526299999999948E-2</v>
      </c>
      <c r="W41" s="7">
        <f t="shared" si="39"/>
        <v>-6.7541699999999927E-2</v>
      </c>
      <c r="X41" s="7"/>
      <c r="Y41" s="9"/>
      <c r="Z41" s="10" t="s">
        <v>22</v>
      </c>
      <c r="AA41" s="10">
        <v>127.2533</v>
      </c>
      <c r="AB41" s="10">
        <v>0.46112720000000001</v>
      </c>
      <c r="AC41" s="10">
        <v>72.211399999999998</v>
      </c>
      <c r="AD41" s="10">
        <v>142.98740000000001</v>
      </c>
      <c r="AE41" s="10">
        <v>0.41084609999999999</v>
      </c>
      <c r="AF41" s="7">
        <v>71.709980000000002</v>
      </c>
      <c r="AG41" s="7">
        <f t="shared" si="40"/>
        <v>-0.23782779999999998</v>
      </c>
      <c r="AH41" s="7">
        <f t="shared" si="41"/>
        <v>-0.21484319999999996</v>
      </c>
      <c r="AI41" s="7"/>
      <c r="AJ41" s="9"/>
      <c r="AK41" s="10" t="s">
        <v>22</v>
      </c>
      <c r="AL41" s="10">
        <v>167.00460000000001</v>
      </c>
      <c r="AM41" s="10">
        <v>0.349574</v>
      </c>
      <c r="AN41" s="10">
        <v>71.041600000000003</v>
      </c>
      <c r="AO41" s="10">
        <v>193.4401</v>
      </c>
      <c r="AP41" s="10">
        <v>0.3021199</v>
      </c>
      <c r="AQ41" s="10">
        <v>70.408000000000001</v>
      </c>
      <c r="AR41" s="7">
        <f t="shared" si="42"/>
        <v>-0.349381</v>
      </c>
      <c r="AS41" s="7">
        <f t="shared" si="43"/>
        <v>-0.32639639999999998</v>
      </c>
      <c r="AT41" s="7"/>
      <c r="AU41" s="9"/>
      <c r="AV41" s="10" t="s">
        <v>22</v>
      </c>
      <c r="AW41" s="10">
        <v>172.6652</v>
      </c>
      <c r="AX41" s="10">
        <v>0.33822809999999998</v>
      </c>
      <c r="AY41" s="10">
        <v>70.897930000000002</v>
      </c>
      <c r="AZ41" s="10">
        <v>201.14189999999999</v>
      </c>
      <c r="BA41" s="10">
        <v>0.29065069999999998</v>
      </c>
      <c r="BB41" s="7">
        <v>70.239549999999994</v>
      </c>
      <c r="BC41" s="7">
        <f t="shared" si="44"/>
        <v>-0.62177189999999993</v>
      </c>
      <c r="BD41" s="7">
        <f t="shared" si="45"/>
        <v>-0.62052240000000003</v>
      </c>
      <c r="BE41" s="7"/>
      <c r="BF41" s="9"/>
      <c r="BG41" s="10" t="s">
        <v>22</v>
      </c>
      <c r="BH41" s="10">
        <v>210.61750000000001</v>
      </c>
      <c r="BI41" s="10">
        <v>0.27506330000000001</v>
      </c>
      <c r="BJ41" s="10">
        <v>70.041139999999999</v>
      </c>
      <c r="BK41" s="10">
        <v>252.6661</v>
      </c>
      <c r="BL41" s="10">
        <v>0.22951940000000001</v>
      </c>
      <c r="BM41" s="7">
        <v>69.254999999999995</v>
      </c>
      <c r="BN41" s="7">
        <f t="shared" si="46"/>
        <v>-0.68493669999999995</v>
      </c>
      <c r="BO41" s="7">
        <f t="shared" si="47"/>
        <v>-0.68368719999999994</v>
      </c>
      <c r="BP41" s="7"/>
    </row>
    <row r="42" spans="1:68" x14ac:dyDescent="0.3">
      <c r="A42" s="10" t="s">
        <v>12</v>
      </c>
      <c r="B42" s="10">
        <v>0.70206999999999997</v>
      </c>
      <c r="D42" s="10" t="s">
        <v>12</v>
      </c>
      <c r="E42" s="10">
        <v>86.461920000000006</v>
      </c>
      <c r="F42" s="10">
        <v>0.67401920000000004</v>
      </c>
      <c r="G42" s="10">
        <v>74.856430000000003</v>
      </c>
      <c r="H42" s="10">
        <v>94.035790000000006</v>
      </c>
      <c r="I42" s="10">
        <v>0.62062030000000001</v>
      </c>
      <c r="J42" s="10">
        <v>74.497969999999995</v>
      </c>
      <c r="K42" s="1">
        <f t="shared" si="37"/>
        <v>-2.8050799999999931E-2</v>
      </c>
      <c r="L42" s="7">
        <v>0</v>
      </c>
      <c r="M42" s="7"/>
      <c r="O42" s="10" t="s">
        <v>12</v>
      </c>
      <c r="P42" s="10">
        <v>95.807839999999999</v>
      </c>
      <c r="Q42" s="10">
        <v>0.60769050000000002</v>
      </c>
      <c r="R42" s="10">
        <v>74.418400000000005</v>
      </c>
      <c r="S42" s="10">
        <v>104.97620000000001</v>
      </c>
      <c r="T42" s="10">
        <v>0.55539360000000004</v>
      </c>
      <c r="U42" s="7">
        <v>74.027569999999997</v>
      </c>
      <c r="V42" s="7">
        <f t="shared" si="38"/>
        <v>-9.437949999999995E-2</v>
      </c>
      <c r="W42" s="7">
        <f t="shared" si="39"/>
        <v>-6.6328700000000018E-2</v>
      </c>
      <c r="X42" s="7"/>
      <c r="Y42" s="9"/>
      <c r="Z42" s="10" t="s">
        <v>12</v>
      </c>
      <c r="AA42" s="10">
        <v>126.515</v>
      </c>
      <c r="AB42" s="10">
        <v>0.46287129999999999</v>
      </c>
      <c r="AC42" s="10">
        <v>73.227800000000002</v>
      </c>
      <c r="AD42" s="10">
        <v>142.05000000000001</v>
      </c>
      <c r="AE42" s="10">
        <v>0.41280119999999998</v>
      </c>
      <c r="AF42" s="7">
        <v>72.730609999999999</v>
      </c>
      <c r="AG42" s="7">
        <f t="shared" si="40"/>
        <v>-0.23919869999999999</v>
      </c>
      <c r="AH42" s="7">
        <f t="shared" si="41"/>
        <v>-0.21114790000000005</v>
      </c>
      <c r="AI42" s="7"/>
      <c r="AJ42" s="9"/>
      <c r="AK42" s="10" t="s">
        <v>12</v>
      </c>
      <c r="AL42" s="10">
        <v>165.45930000000001</v>
      </c>
      <c r="AM42" s="10">
        <v>0.35228110000000001</v>
      </c>
      <c r="AN42" s="10">
        <v>72.075109999999995</v>
      </c>
      <c r="AO42" s="10">
        <v>191.35839999999999</v>
      </c>
      <c r="AP42" s="10">
        <v>0.30498550000000002</v>
      </c>
      <c r="AQ42" s="10">
        <v>71.449010000000001</v>
      </c>
      <c r="AR42" s="7">
        <f t="shared" si="42"/>
        <v>-0.34978889999999996</v>
      </c>
      <c r="AS42" s="7">
        <f t="shared" si="43"/>
        <v>-0.32173810000000003</v>
      </c>
      <c r="AT42" s="7"/>
      <c r="AU42" s="9"/>
      <c r="AV42" s="10" t="s">
        <v>12</v>
      </c>
      <c r="AW42" s="10">
        <v>171.11869999999999</v>
      </c>
      <c r="AX42" s="10">
        <v>0.34076380000000001</v>
      </c>
      <c r="AY42" s="10">
        <v>71.930369999999996</v>
      </c>
      <c r="AZ42" s="10">
        <v>199.0326</v>
      </c>
      <c r="BA42" s="10">
        <v>0.29334199999999999</v>
      </c>
      <c r="BB42" s="7">
        <v>71.279589999999999</v>
      </c>
      <c r="BC42" s="7">
        <f t="shared" si="44"/>
        <v>-0.61923620000000001</v>
      </c>
      <c r="BD42" s="7">
        <f t="shared" si="45"/>
        <v>-0.61798669999999989</v>
      </c>
      <c r="BE42" s="7"/>
      <c r="BF42" s="9"/>
      <c r="BG42" s="10" t="s">
        <v>12</v>
      </c>
      <c r="BH42" s="10">
        <v>208.84209999999999</v>
      </c>
      <c r="BI42" s="10">
        <v>0.27705819999999998</v>
      </c>
      <c r="BJ42" s="10">
        <v>71.07253</v>
      </c>
      <c r="BK42" s="10">
        <v>250.10149999999999</v>
      </c>
      <c r="BL42" s="10">
        <v>0.2316309</v>
      </c>
      <c r="BM42" s="7">
        <v>70.294780000000003</v>
      </c>
      <c r="BN42" s="7">
        <f t="shared" si="46"/>
        <v>-0.68294180000000004</v>
      </c>
      <c r="BO42" s="7">
        <f t="shared" si="47"/>
        <v>-0.68169229999999992</v>
      </c>
      <c r="BP42" s="7"/>
    </row>
    <row r="43" spans="1:68" x14ac:dyDescent="0.3">
      <c r="A43" s="10" t="s">
        <v>13</v>
      </c>
      <c r="B43" s="10">
        <v>0.72611999999999999</v>
      </c>
      <c r="D43" s="10" t="s">
        <v>13</v>
      </c>
      <c r="E43" s="10">
        <v>86.461920000000006</v>
      </c>
      <c r="F43" s="10">
        <v>0.67134210000000005</v>
      </c>
      <c r="G43" s="10">
        <v>75.83914</v>
      </c>
      <c r="H43" s="10">
        <v>94.035790000000006</v>
      </c>
      <c r="I43" s="10">
        <v>0.61834979999999995</v>
      </c>
      <c r="J43" s="10">
        <v>75.482039999999998</v>
      </c>
      <c r="K43" s="1">
        <f t="shared" si="37"/>
        <v>-5.4777899999999935E-2</v>
      </c>
      <c r="L43" s="7">
        <v>0</v>
      </c>
      <c r="M43" s="7"/>
      <c r="O43" s="10" t="s">
        <v>13</v>
      </c>
      <c r="P43" s="10">
        <v>95.807839999999999</v>
      </c>
      <c r="Q43" s="10">
        <v>0.60551350000000004</v>
      </c>
      <c r="R43" s="10">
        <v>75.402799999999999</v>
      </c>
      <c r="S43" s="10">
        <v>104.97620000000001</v>
      </c>
      <c r="T43" s="10">
        <v>0.55357460000000003</v>
      </c>
      <c r="U43" s="7">
        <v>75.013319999999993</v>
      </c>
      <c r="V43" s="7">
        <f t="shared" si="38"/>
        <v>-0.12060649999999995</v>
      </c>
      <c r="W43" s="7">
        <f t="shared" si="39"/>
        <v>-6.5828600000000015E-2</v>
      </c>
      <c r="X43" s="7"/>
      <c r="Y43" s="9"/>
      <c r="Z43" s="10" t="s">
        <v>13</v>
      </c>
      <c r="AA43" s="10">
        <v>126.515</v>
      </c>
      <c r="AB43" s="10">
        <v>0.4616072</v>
      </c>
      <c r="AC43" s="10">
        <v>74.215919999999997</v>
      </c>
      <c r="AD43" s="10">
        <v>142.05000000000001</v>
      </c>
      <c r="AE43" s="10">
        <v>0.41179549999999998</v>
      </c>
      <c r="AF43" s="7">
        <v>73.720010000000002</v>
      </c>
      <c r="AG43" s="7">
        <f t="shared" si="40"/>
        <v>-0.26451279999999999</v>
      </c>
      <c r="AH43" s="7">
        <f t="shared" si="41"/>
        <v>-0.20973490000000006</v>
      </c>
      <c r="AI43" s="7"/>
      <c r="AJ43" s="9"/>
      <c r="AK43" s="10" t="s">
        <v>13</v>
      </c>
      <c r="AL43" s="10">
        <v>165.45930000000001</v>
      </c>
      <c r="AM43" s="10">
        <v>0.35154839999999998</v>
      </c>
      <c r="AN43" s="10">
        <v>73.066059999999993</v>
      </c>
      <c r="AO43" s="10">
        <v>191.35839999999999</v>
      </c>
      <c r="AP43" s="10">
        <v>0.30443619999999999</v>
      </c>
      <c r="AQ43" s="10">
        <v>72.44117</v>
      </c>
      <c r="AR43" s="7">
        <f t="shared" si="42"/>
        <v>-0.3745716</v>
      </c>
      <c r="AS43" s="7">
        <f t="shared" si="43"/>
        <v>-0.31979370000000007</v>
      </c>
      <c r="AT43" s="7"/>
      <c r="AU43" s="9"/>
      <c r="AV43" s="10" t="s">
        <v>13</v>
      </c>
      <c r="AW43" s="10">
        <v>171.11869999999999</v>
      </c>
      <c r="AX43" s="10">
        <v>0.3400782</v>
      </c>
      <c r="AY43" s="10">
        <v>72.921620000000004</v>
      </c>
      <c r="AZ43" s="10">
        <v>199.0326</v>
      </c>
      <c r="BA43" s="10">
        <v>0.29283379999999998</v>
      </c>
      <c r="BB43" s="7">
        <v>72.272040000000004</v>
      </c>
      <c r="BC43" s="7">
        <f t="shared" si="44"/>
        <v>-0.61992179999999997</v>
      </c>
      <c r="BD43" s="7">
        <f t="shared" si="45"/>
        <v>-0.61867229999999995</v>
      </c>
      <c r="BE43" s="7"/>
      <c r="BF43" s="9"/>
      <c r="BG43" s="10" t="s">
        <v>13</v>
      </c>
      <c r="BH43" s="10">
        <v>208.84209999999999</v>
      </c>
      <c r="BI43" s="10">
        <v>0.27660479999999998</v>
      </c>
      <c r="BJ43" s="10">
        <v>72.06541</v>
      </c>
      <c r="BK43" s="10">
        <v>250.10149999999999</v>
      </c>
      <c r="BL43" s="10">
        <v>0.23131389999999999</v>
      </c>
      <c r="BM43" s="7">
        <v>71.288830000000004</v>
      </c>
      <c r="BN43" s="7">
        <f t="shared" si="46"/>
        <v>-0.68339519999999998</v>
      </c>
      <c r="BO43" s="7">
        <f t="shared" si="47"/>
        <v>-0.68214569999999997</v>
      </c>
      <c r="BP43" s="7"/>
    </row>
    <row r="44" spans="1:68" x14ac:dyDescent="0.3">
      <c r="A44" s="10" t="s">
        <v>25</v>
      </c>
      <c r="B44" s="10">
        <v>0.73229</v>
      </c>
      <c r="D44" s="10" t="s">
        <v>25</v>
      </c>
      <c r="E44" s="10">
        <v>88.237780000000001</v>
      </c>
      <c r="F44" s="10">
        <v>0.65388749999999995</v>
      </c>
      <c r="G44" s="10">
        <v>76.724729999999994</v>
      </c>
      <c r="H44" s="10">
        <v>96.144990000000007</v>
      </c>
      <c r="I44" s="10">
        <v>0.60147209999999995</v>
      </c>
      <c r="J44" s="10">
        <v>76.361859999999993</v>
      </c>
      <c r="K44" s="1">
        <f t="shared" si="37"/>
        <v>-7.8402500000000042E-2</v>
      </c>
      <c r="L44" s="7">
        <v>0</v>
      </c>
      <c r="M44" s="7"/>
      <c r="O44" s="10" t="s">
        <v>25</v>
      </c>
      <c r="P44" s="10">
        <v>97.537229999999994</v>
      </c>
      <c r="Q44" s="10">
        <v>0.59152380000000004</v>
      </c>
      <c r="R44" s="10">
        <v>76.301280000000006</v>
      </c>
      <c r="S44" s="10">
        <v>107.06140000000001</v>
      </c>
      <c r="T44" s="10">
        <v>0.54009879999999999</v>
      </c>
      <c r="U44" s="7">
        <v>75.906300000000002</v>
      </c>
      <c r="V44" s="7">
        <f t="shared" si="38"/>
        <v>-0.14076619999999995</v>
      </c>
      <c r="W44" s="7">
        <f t="shared" si="39"/>
        <v>-6.2363699999999911E-2</v>
      </c>
      <c r="X44" s="7"/>
      <c r="Y44" s="9"/>
      <c r="Z44" s="10" t="s">
        <v>25</v>
      </c>
      <c r="AA44" s="10">
        <v>128.2473</v>
      </c>
      <c r="AB44" s="10">
        <v>0.4534337</v>
      </c>
      <c r="AC44" s="10">
        <v>75.138329999999996</v>
      </c>
      <c r="AD44" s="10">
        <v>144.23349999999999</v>
      </c>
      <c r="AE44" s="10">
        <v>0.40403210000000001</v>
      </c>
      <c r="AF44" s="7">
        <v>74.637349999999998</v>
      </c>
      <c r="AG44" s="7">
        <f t="shared" si="40"/>
        <v>-0.2788563</v>
      </c>
      <c r="AH44" s="7">
        <f t="shared" si="41"/>
        <v>-0.20045379999999996</v>
      </c>
      <c r="AI44" s="7"/>
      <c r="AJ44" s="9"/>
      <c r="AK44" s="10" t="s">
        <v>25</v>
      </c>
      <c r="AL44" s="10">
        <v>167.1063</v>
      </c>
      <c r="AM44" s="10">
        <v>0.3469351</v>
      </c>
      <c r="AN44" s="10">
        <v>74.008700000000005</v>
      </c>
      <c r="AO44" s="10">
        <v>193.571</v>
      </c>
      <c r="AP44" s="10">
        <v>0.30010209999999998</v>
      </c>
      <c r="AQ44" s="10">
        <v>73.378900000000002</v>
      </c>
      <c r="AR44" s="7">
        <f t="shared" si="42"/>
        <v>-0.3853549</v>
      </c>
      <c r="AS44" s="7">
        <f t="shared" si="43"/>
        <v>-0.30695239999999996</v>
      </c>
      <c r="AT44" s="7"/>
      <c r="AU44" s="9"/>
      <c r="AV44" s="10" t="s">
        <v>25</v>
      </c>
      <c r="AW44" s="10">
        <v>172.7679</v>
      </c>
      <c r="AX44" s="10">
        <v>0.33575529999999998</v>
      </c>
      <c r="AY44" s="10">
        <v>73.866069999999993</v>
      </c>
      <c r="AZ44" s="10">
        <v>201.274</v>
      </c>
      <c r="BA44" s="10">
        <v>0.28878110000000001</v>
      </c>
      <c r="BB44" s="7">
        <v>73.211519999999993</v>
      </c>
      <c r="BC44" s="7">
        <f t="shared" si="44"/>
        <v>-0.62424469999999999</v>
      </c>
      <c r="BD44" s="7">
        <f t="shared" si="45"/>
        <v>-0.62299519999999997</v>
      </c>
      <c r="BE44" s="7"/>
      <c r="BF44" s="9"/>
      <c r="BG44" s="10" t="s">
        <v>25</v>
      </c>
      <c r="BH44" s="10">
        <v>210.03450000000001</v>
      </c>
      <c r="BI44" s="10">
        <v>0.27430680000000002</v>
      </c>
      <c r="BJ44" s="10">
        <v>73.029169999999993</v>
      </c>
      <c r="BK44" s="10">
        <v>251.80330000000001</v>
      </c>
      <c r="BL44" s="10">
        <v>0.22924439999999999</v>
      </c>
      <c r="BM44" s="7">
        <v>72.249799999999993</v>
      </c>
      <c r="BN44" s="7">
        <f t="shared" si="46"/>
        <v>-0.6856932</v>
      </c>
      <c r="BO44" s="7">
        <f t="shared" si="47"/>
        <v>-0.68444369999999988</v>
      </c>
      <c r="BP44" s="7"/>
    </row>
    <row r="45" spans="1:68" x14ac:dyDescent="0.3">
      <c r="A45" s="10" t="s">
        <v>23</v>
      </c>
      <c r="B45" s="10">
        <v>0.75208000000000008</v>
      </c>
      <c r="D45" s="10" t="s">
        <v>23</v>
      </c>
      <c r="E45" s="10">
        <v>88.237780000000001</v>
      </c>
      <c r="F45" s="10">
        <v>0.64805170000000001</v>
      </c>
      <c r="G45" s="10">
        <v>77.685810000000004</v>
      </c>
      <c r="H45" s="10">
        <v>96.144990000000007</v>
      </c>
      <c r="I45" s="10">
        <v>0.59653089999999998</v>
      </c>
      <c r="J45" s="10">
        <v>77.326030000000003</v>
      </c>
      <c r="K45" s="1">
        <f t="shared" si="37"/>
        <v>-0.10402830000000007</v>
      </c>
      <c r="L45" s="7">
        <v>0</v>
      </c>
      <c r="M45" s="7"/>
      <c r="O45" s="10" t="s">
        <v>23</v>
      </c>
      <c r="P45" s="10">
        <v>97.604770000000002</v>
      </c>
      <c r="Q45" s="10">
        <v>0.58635130000000002</v>
      </c>
      <c r="R45" s="10">
        <v>77.263149999999996</v>
      </c>
      <c r="S45" s="10">
        <v>107.1431</v>
      </c>
      <c r="T45" s="10">
        <v>0.53571449999999998</v>
      </c>
      <c r="U45" s="7">
        <v>76.870900000000006</v>
      </c>
      <c r="V45" s="7">
        <f t="shared" si="38"/>
        <v>-0.16572870000000006</v>
      </c>
      <c r="W45" s="7">
        <f t="shared" si="39"/>
        <v>-6.1700399999999989E-2</v>
      </c>
      <c r="X45" s="7"/>
      <c r="Y45" s="9"/>
      <c r="Z45" s="10" t="s">
        <v>23</v>
      </c>
      <c r="AA45" s="10">
        <v>128.61160000000001</v>
      </c>
      <c r="AB45" s="10">
        <v>0.44937529999999998</v>
      </c>
      <c r="AC45" s="10">
        <v>76.099289999999996</v>
      </c>
      <c r="AD45" s="10">
        <v>144.7021</v>
      </c>
      <c r="AE45" s="10">
        <v>0.4005243</v>
      </c>
      <c r="AF45" s="7">
        <v>75.599490000000003</v>
      </c>
      <c r="AG45" s="7">
        <f t="shared" si="40"/>
        <v>-0.3027047000000001</v>
      </c>
      <c r="AH45" s="7">
        <f t="shared" si="41"/>
        <v>-0.19867640000000003</v>
      </c>
      <c r="AI45" s="7"/>
      <c r="AJ45" s="9"/>
      <c r="AK45" s="10" t="s">
        <v>23</v>
      </c>
      <c r="AL45" s="10">
        <v>167.87479999999999</v>
      </c>
      <c r="AM45" s="10">
        <v>0.34373520000000002</v>
      </c>
      <c r="AN45" s="10">
        <v>74.968459999999993</v>
      </c>
      <c r="AO45" s="10">
        <v>194.61779999999999</v>
      </c>
      <c r="AP45" s="10">
        <v>0.2972862</v>
      </c>
      <c r="AQ45" s="10">
        <v>74.337969999999999</v>
      </c>
      <c r="AR45" s="7">
        <f t="shared" si="42"/>
        <v>-0.40834480000000006</v>
      </c>
      <c r="AS45" s="7">
        <f t="shared" si="43"/>
        <v>-0.30431649999999999</v>
      </c>
      <c r="AT45" s="7"/>
      <c r="AU45" s="9"/>
      <c r="AV45" s="10" t="s">
        <v>23</v>
      </c>
      <c r="AW45" s="10">
        <v>173.536</v>
      </c>
      <c r="AX45" s="10">
        <v>0.3327581</v>
      </c>
      <c r="AY45" s="10">
        <v>74.827129999999997</v>
      </c>
      <c r="AZ45" s="10">
        <v>202.3339</v>
      </c>
      <c r="BA45" s="10">
        <v>0.28615459999999998</v>
      </c>
      <c r="BB45" s="7">
        <v>74.171840000000003</v>
      </c>
      <c r="BC45" s="7">
        <f t="shared" si="44"/>
        <v>-0.62724190000000002</v>
      </c>
      <c r="BD45" s="7">
        <f t="shared" si="45"/>
        <v>-0.62599239999999989</v>
      </c>
      <c r="BE45" s="7"/>
      <c r="BF45" s="9"/>
      <c r="BG45" s="10" t="s">
        <v>23</v>
      </c>
      <c r="BH45" s="10">
        <v>210.92869999999999</v>
      </c>
      <c r="BI45" s="10">
        <v>0.27213359999999998</v>
      </c>
      <c r="BJ45" s="10">
        <v>73.994640000000004</v>
      </c>
      <c r="BK45" s="10">
        <v>253.06829999999999</v>
      </c>
      <c r="BL45" s="10">
        <v>0.22739509999999999</v>
      </c>
      <c r="BM45" s="7">
        <v>73.21463</v>
      </c>
      <c r="BN45" s="7">
        <f t="shared" si="46"/>
        <v>-0.68786639999999999</v>
      </c>
      <c r="BO45" s="7">
        <f t="shared" si="47"/>
        <v>-0.68661689999999997</v>
      </c>
      <c r="BP45" s="7"/>
    </row>
    <row r="46" spans="1:68" x14ac:dyDescent="0.3">
      <c r="A46" s="10" t="s">
        <v>26</v>
      </c>
      <c r="B46" s="10">
        <v>0.76478500000000005</v>
      </c>
      <c r="D46" s="10" t="s">
        <v>26</v>
      </c>
      <c r="E46" s="10">
        <v>88.237780000000001</v>
      </c>
      <c r="F46" s="10">
        <v>0.63926260000000001</v>
      </c>
      <c r="G46" s="10">
        <v>78.626499999999993</v>
      </c>
      <c r="H46" s="10">
        <v>96.144990000000007</v>
      </c>
      <c r="I46" s="10">
        <v>0.58907560000000003</v>
      </c>
      <c r="J46" s="10">
        <v>78.271420000000006</v>
      </c>
      <c r="K46" s="1">
        <f t="shared" si="37"/>
        <v>-0.12552240000000003</v>
      </c>
      <c r="L46" s="7">
        <v>0</v>
      </c>
      <c r="M46" s="7"/>
      <c r="O46" s="10" t="s">
        <v>26</v>
      </c>
      <c r="P46" s="10">
        <v>97.412379999999999</v>
      </c>
      <c r="Q46" s="10">
        <v>0.58023950000000002</v>
      </c>
      <c r="R46" s="10">
        <v>78.217640000000003</v>
      </c>
      <c r="S46" s="10">
        <v>106.91030000000001</v>
      </c>
      <c r="T46" s="10">
        <v>0.53080020000000006</v>
      </c>
      <c r="U46" s="7">
        <v>77.830870000000004</v>
      </c>
      <c r="V46" s="7">
        <f t="shared" si="38"/>
        <v>-0.18454550000000003</v>
      </c>
      <c r="W46" s="7">
        <f t="shared" si="39"/>
        <v>-5.9023099999999995E-2</v>
      </c>
      <c r="X46" s="7"/>
      <c r="Y46" s="9"/>
      <c r="Z46" s="10" t="s">
        <v>26</v>
      </c>
      <c r="AA46" s="10">
        <v>127.8182</v>
      </c>
      <c r="AB46" s="10">
        <v>0.44779920000000001</v>
      </c>
      <c r="AC46" s="10">
        <v>77.084029999999998</v>
      </c>
      <c r="AD46" s="10">
        <v>143.69239999999999</v>
      </c>
      <c r="AE46" s="10">
        <v>0.3998544</v>
      </c>
      <c r="AF46" s="7">
        <v>76.592209999999994</v>
      </c>
      <c r="AG46" s="7">
        <f t="shared" si="40"/>
        <v>-0.31698580000000004</v>
      </c>
      <c r="AH46" s="7">
        <f t="shared" si="41"/>
        <v>-0.19146340000000001</v>
      </c>
      <c r="AI46" s="7"/>
      <c r="AJ46" s="9"/>
      <c r="AK46" s="10" t="s">
        <v>26</v>
      </c>
      <c r="AL46" s="10">
        <v>166.27350000000001</v>
      </c>
      <c r="AM46" s="10">
        <v>0.34444570000000002</v>
      </c>
      <c r="AN46" s="10">
        <v>75.977419999999995</v>
      </c>
      <c r="AO46" s="10">
        <v>192.44319999999999</v>
      </c>
      <c r="AP46" s="10">
        <v>0.29868430000000001</v>
      </c>
      <c r="AQ46" s="10">
        <v>75.358339999999998</v>
      </c>
      <c r="AR46" s="7">
        <f t="shared" si="42"/>
        <v>-0.42033930000000003</v>
      </c>
      <c r="AS46" s="7">
        <f t="shared" si="43"/>
        <v>-0.29481689999999999</v>
      </c>
      <c r="AT46" s="7"/>
      <c r="AU46" s="9"/>
      <c r="AV46" s="10" t="s">
        <v>26</v>
      </c>
      <c r="AW46" s="10">
        <v>171.93530000000001</v>
      </c>
      <c r="AX46" s="10">
        <v>0.33342250000000001</v>
      </c>
      <c r="AY46" s="10">
        <v>75.83578</v>
      </c>
      <c r="AZ46" s="10">
        <v>200.1317</v>
      </c>
      <c r="BA46" s="10">
        <v>0.28748820000000003</v>
      </c>
      <c r="BB46" s="7">
        <v>75.192040000000006</v>
      </c>
      <c r="BC46" s="7">
        <f t="shared" si="44"/>
        <v>-0.62657750000000001</v>
      </c>
      <c r="BD46" s="7">
        <f t="shared" si="45"/>
        <v>-0.62532799999999988</v>
      </c>
      <c r="BE46" s="7"/>
      <c r="BF46" s="9"/>
      <c r="BG46" s="10" t="s">
        <v>26</v>
      </c>
      <c r="BH46" s="10">
        <v>209.01130000000001</v>
      </c>
      <c r="BI46" s="10">
        <v>0.2730013</v>
      </c>
      <c r="BJ46" s="10">
        <v>75.008449999999996</v>
      </c>
      <c r="BK46" s="10">
        <v>250.31049999999999</v>
      </c>
      <c r="BL46" s="10">
        <v>0.2287527</v>
      </c>
      <c r="BM46" s="7">
        <v>74.240470000000002</v>
      </c>
      <c r="BN46" s="7">
        <f t="shared" si="46"/>
        <v>-0.68699869999999996</v>
      </c>
      <c r="BO46" s="7">
        <f t="shared" si="47"/>
        <v>-0.68574919999999995</v>
      </c>
      <c r="BP46" s="7"/>
    </row>
    <row r="47" spans="1:68" x14ac:dyDescent="0.3">
      <c r="A47" s="10" t="s">
        <v>27</v>
      </c>
      <c r="B47" s="10">
        <v>0.78190000000000004</v>
      </c>
      <c r="D47" s="10" t="s">
        <v>27</v>
      </c>
      <c r="E47" s="10">
        <v>79.525700000000001</v>
      </c>
      <c r="F47" s="10">
        <v>0.68881150000000002</v>
      </c>
      <c r="G47" s="10">
        <v>79.950710000000001</v>
      </c>
      <c r="H47" s="10">
        <v>85.870249999999999</v>
      </c>
      <c r="I47" s="10">
        <v>0.64155589999999996</v>
      </c>
      <c r="J47" s="10">
        <v>79.642049999999998</v>
      </c>
      <c r="K47" s="1">
        <f t="shared" si="37"/>
        <v>-9.3088500000000018E-2</v>
      </c>
      <c r="L47" s="7">
        <v>0</v>
      </c>
      <c r="M47" s="7"/>
      <c r="O47" s="10" t="s">
        <v>27</v>
      </c>
      <c r="P47" s="10">
        <v>88.196060000000003</v>
      </c>
      <c r="Q47" s="10">
        <v>0.62422889999999998</v>
      </c>
      <c r="R47" s="10">
        <v>79.534999999999997</v>
      </c>
      <c r="S47" s="10">
        <v>95.878219999999999</v>
      </c>
      <c r="T47" s="10">
        <v>0.57743069999999996</v>
      </c>
      <c r="U47" s="7">
        <v>79.196560000000005</v>
      </c>
      <c r="V47" s="7">
        <f t="shared" si="38"/>
        <v>-0.15767110000000006</v>
      </c>
      <c r="W47" s="7">
        <f t="shared" si="39"/>
        <v>-6.4582600000000046E-2</v>
      </c>
      <c r="X47" s="7"/>
      <c r="Y47" s="9"/>
      <c r="Z47" s="10" t="s">
        <v>27</v>
      </c>
      <c r="AA47" s="10">
        <v>116.3622</v>
      </c>
      <c r="AB47" s="10">
        <v>0.48211039999999999</v>
      </c>
      <c r="AC47" s="10">
        <v>78.404660000000007</v>
      </c>
      <c r="AD47" s="10">
        <v>129.3134</v>
      </c>
      <c r="AE47" s="10">
        <v>0.43617139999999999</v>
      </c>
      <c r="AF47" s="7">
        <v>77.969759999999994</v>
      </c>
      <c r="AG47" s="7">
        <f t="shared" si="40"/>
        <v>-0.29978960000000004</v>
      </c>
      <c r="AH47" s="7">
        <f t="shared" si="41"/>
        <v>-0.20670110000000003</v>
      </c>
      <c r="AI47" s="7"/>
      <c r="AJ47" s="9"/>
      <c r="AK47" s="10" t="s">
        <v>27</v>
      </c>
      <c r="AL47" s="10">
        <v>152.06909999999999</v>
      </c>
      <c r="AM47" s="10">
        <v>0.37090640000000002</v>
      </c>
      <c r="AN47" s="10">
        <v>77.298860000000005</v>
      </c>
      <c r="AO47" s="10">
        <v>173.56399999999999</v>
      </c>
      <c r="AP47" s="10">
        <v>0.32664349999999998</v>
      </c>
      <c r="AQ47" s="10">
        <v>76.746960000000001</v>
      </c>
      <c r="AR47" s="7">
        <f t="shared" si="42"/>
        <v>-0.41099360000000001</v>
      </c>
      <c r="AS47" s="7">
        <f t="shared" si="43"/>
        <v>-0.3179051</v>
      </c>
      <c r="AT47" s="7"/>
      <c r="AU47" s="9"/>
      <c r="AV47" s="10" t="s">
        <v>27</v>
      </c>
      <c r="AW47" s="10">
        <v>157.73159999999999</v>
      </c>
      <c r="AX47" s="10">
        <v>0.35815190000000002</v>
      </c>
      <c r="AY47" s="10">
        <v>77.146510000000006</v>
      </c>
      <c r="AZ47" s="10">
        <v>181.0258</v>
      </c>
      <c r="BA47" s="10">
        <v>0.31367590000000001</v>
      </c>
      <c r="BB47" s="7">
        <v>76.570660000000004</v>
      </c>
      <c r="BC47" s="7">
        <f t="shared" si="44"/>
        <v>-0.6018481</v>
      </c>
      <c r="BD47" s="7">
        <f t="shared" si="45"/>
        <v>-0.60059859999999987</v>
      </c>
      <c r="BE47" s="7"/>
      <c r="BF47" s="9"/>
      <c r="BG47" s="10" t="s">
        <v>27</v>
      </c>
      <c r="BH47" s="10">
        <v>194.17920000000001</v>
      </c>
      <c r="BI47" s="10">
        <v>0.29045860000000001</v>
      </c>
      <c r="BJ47" s="10">
        <v>76.277659999999997</v>
      </c>
      <c r="BK47" s="10">
        <v>229.11760000000001</v>
      </c>
      <c r="BL47" s="10">
        <v>0.24738689999999999</v>
      </c>
      <c r="BM47" s="7">
        <v>75.580579999999998</v>
      </c>
      <c r="BN47" s="7">
        <f t="shared" si="46"/>
        <v>-0.66954139999999995</v>
      </c>
      <c r="BO47" s="7">
        <f t="shared" si="47"/>
        <v>-0.66829189999999994</v>
      </c>
      <c r="BP47" s="7"/>
    </row>
    <row r="48" spans="1:68" x14ac:dyDescent="0.3">
      <c r="A48" s="10" t="s">
        <v>28</v>
      </c>
      <c r="B48" s="10">
        <v>0.75202999999999998</v>
      </c>
      <c r="D48" s="10" t="s">
        <v>28</v>
      </c>
      <c r="E48" s="10">
        <v>79.525700000000001</v>
      </c>
      <c r="F48" s="10">
        <v>0.66310999999999998</v>
      </c>
      <c r="G48" s="10">
        <v>80.785560000000004</v>
      </c>
      <c r="H48" s="10">
        <v>85.870249999999999</v>
      </c>
      <c r="I48" s="10">
        <v>0.61920269999999999</v>
      </c>
      <c r="J48" s="10">
        <v>80.488039999999998</v>
      </c>
      <c r="K48" s="1">
        <f t="shared" si="37"/>
        <v>-8.8919999999999999E-2</v>
      </c>
      <c r="L48" s="7">
        <v>0</v>
      </c>
      <c r="M48" s="7"/>
      <c r="O48" s="10" t="s">
        <v>28</v>
      </c>
      <c r="P48" s="10">
        <v>87.29965</v>
      </c>
      <c r="Q48" s="10">
        <v>0.60860709999999996</v>
      </c>
      <c r="R48" s="10">
        <v>80.424930000000003</v>
      </c>
      <c r="S48" s="10">
        <v>94.817160000000001</v>
      </c>
      <c r="T48" s="10">
        <v>0.56492489999999995</v>
      </c>
      <c r="U48" s="7">
        <v>80.101470000000006</v>
      </c>
      <c r="V48" s="7">
        <f t="shared" si="38"/>
        <v>-0.14342290000000002</v>
      </c>
      <c r="W48" s="7">
        <f t="shared" si="39"/>
        <v>-5.4502900000000021E-2</v>
      </c>
      <c r="X48" s="7"/>
      <c r="Y48" s="9"/>
      <c r="Z48" s="10" t="s">
        <v>28</v>
      </c>
      <c r="AA48" s="10">
        <v>111.83240000000001</v>
      </c>
      <c r="AB48" s="10">
        <v>0.48683710000000002</v>
      </c>
      <c r="AC48" s="10">
        <v>79.447029999999998</v>
      </c>
      <c r="AD48" s="10">
        <v>123.7269</v>
      </c>
      <c r="AE48" s="10">
        <v>0.44351550000000001</v>
      </c>
      <c r="AF48" s="7">
        <v>79.042270000000002</v>
      </c>
      <c r="AG48" s="7">
        <f t="shared" si="40"/>
        <v>-0.26519289999999995</v>
      </c>
      <c r="AH48" s="7">
        <f t="shared" si="41"/>
        <v>-0.17627289999999995</v>
      </c>
      <c r="AI48" s="7"/>
      <c r="AJ48" s="9"/>
      <c r="AK48" s="10" t="s">
        <v>28</v>
      </c>
      <c r="AL48" s="10">
        <v>142.68260000000001</v>
      </c>
      <c r="AM48" s="10">
        <v>0.38567950000000001</v>
      </c>
      <c r="AN48" s="10">
        <v>78.46848</v>
      </c>
      <c r="AO48" s="10">
        <v>161.3783</v>
      </c>
      <c r="AP48" s="10">
        <v>0.34357260000000001</v>
      </c>
      <c r="AQ48" s="10">
        <v>77.966390000000004</v>
      </c>
      <c r="AR48" s="7">
        <f t="shared" si="42"/>
        <v>-0.36635049999999997</v>
      </c>
      <c r="AS48" s="7">
        <f t="shared" si="43"/>
        <v>-0.27743049999999997</v>
      </c>
      <c r="AT48" s="7"/>
      <c r="AU48" s="9"/>
      <c r="AV48" s="10" t="s">
        <v>28</v>
      </c>
      <c r="AW48" s="10">
        <v>148.3432</v>
      </c>
      <c r="AX48" s="10">
        <v>0.37191000000000002</v>
      </c>
      <c r="AY48" s="10">
        <v>78.310209999999998</v>
      </c>
      <c r="AZ48" s="10">
        <v>168.70230000000001</v>
      </c>
      <c r="BA48" s="10">
        <v>0.32950750000000001</v>
      </c>
      <c r="BB48" s="7">
        <v>77.784480000000002</v>
      </c>
      <c r="BC48" s="7">
        <f t="shared" si="44"/>
        <v>-0.58809</v>
      </c>
      <c r="BD48" s="7">
        <f t="shared" si="45"/>
        <v>-0.58684049999999988</v>
      </c>
      <c r="BE48" s="7"/>
      <c r="BF48" s="9"/>
      <c r="BG48" s="10" t="s">
        <v>28</v>
      </c>
      <c r="BH48" s="10">
        <v>183.41589999999999</v>
      </c>
      <c r="BI48" s="10">
        <v>0.30170999999999998</v>
      </c>
      <c r="BJ48" s="10">
        <v>77.442700000000002</v>
      </c>
      <c r="BK48" s="10">
        <v>214.14519999999999</v>
      </c>
      <c r="BL48" s="10">
        <v>0.26030500000000001</v>
      </c>
      <c r="BM48" s="7">
        <v>76.801630000000003</v>
      </c>
      <c r="BN48" s="7">
        <f t="shared" si="46"/>
        <v>-0.65829000000000004</v>
      </c>
      <c r="BO48" s="7">
        <f t="shared" si="47"/>
        <v>-0.65704049999999992</v>
      </c>
      <c r="BP48" s="7"/>
    </row>
    <row r="49" spans="1:68" s="21" customFormat="1" x14ac:dyDescent="0.3">
      <c r="A49" s="10" t="s">
        <v>29</v>
      </c>
      <c r="B49" s="10">
        <v>0.70745999999999998</v>
      </c>
      <c r="C49" s="11"/>
      <c r="D49" s="10" t="s">
        <v>29</v>
      </c>
      <c r="E49" s="10">
        <v>79.525700000000001</v>
      </c>
      <c r="F49" s="10">
        <v>0.62876500000000002</v>
      </c>
      <c r="G49" s="10">
        <v>81.554580000000001</v>
      </c>
      <c r="H49" s="10">
        <v>85.870249999999999</v>
      </c>
      <c r="I49" s="10">
        <v>0.58915229999999996</v>
      </c>
      <c r="J49" s="10">
        <v>81.271979999999999</v>
      </c>
      <c r="K49" s="1">
        <f t="shared" si="37"/>
        <v>-7.8694999999999959E-2</v>
      </c>
      <c r="L49" s="7">
        <v>0</v>
      </c>
      <c r="M49" s="7"/>
      <c r="N49" s="11"/>
      <c r="O49" s="10" t="s">
        <v>29</v>
      </c>
      <c r="P49" s="10">
        <v>86.530280000000005</v>
      </c>
      <c r="Q49" s="10">
        <v>0.5839529</v>
      </c>
      <c r="R49" s="10">
        <v>81.245350000000002</v>
      </c>
      <c r="S49" s="10">
        <v>93.908140000000003</v>
      </c>
      <c r="T49" s="10">
        <v>0.5443192</v>
      </c>
      <c r="U49" s="7">
        <v>80.940100000000001</v>
      </c>
      <c r="V49" s="7">
        <f t="shared" si="38"/>
        <v>-0.12350709999999998</v>
      </c>
      <c r="W49" s="7">
        <f t="shared" si="39"/>
        <v>-4.4812100000000021E-2</v>
      </c>
      <c r="X49" s="7"/>
      <c r="Y49" s="9"/>
      <c r="Z49" s="10" t="s">
        <v>29</v>
      </c>
      <c r="AA49" s="10">
        <v>108.6378</v>
      </c>
      <c r="AB49" s="10">
        <v>0.48017779999999999</v>
      </c>
      <c r="AC49" s="10">
        <v>80.387209999999996</v>
      </c>
      <c r="AD49" s="10">
        <v>119.8154</v>
      </c>
      <c r="AE49" s="10">
        <v>0.44031389999999998</v>
      </c>
      <c r="AF49" s="7">
        <v>80.010819999999995</v>
      </c>
      <c r="AG49" s="7">
        <f t="shared" si="40"/>
        <v>-0.22728219999999999</v>
      </c>
      <c r="AH49" s="7">
        <f t="shared" si="41"/>
        <v>-0.14858720000000003</v>
      </c>
      <c r="AI49" s="7"/>
      <c r="AJ49" s="9"/>
      <c r="AK49" s="10" t="s">
        <v>29</v>
      </c>
      <c r="AL49" s="10">
        <v>136.25110000000001</v>
      </c>
      <c r="AM49" s="10">
        <v>0.3897292</v>
      </c>
      <c r="AN49" s="10">
        <v>79.513840000000002</v>
      </c>
      <c r="AO49" s="10">
        <v>153.1576</v>
      </c>
      <c r="AP49" s="10">
        <v>0.35047850000000003</v>
      </c>
      <c r="AQ49" s="10">
        <v>79.05283</v>
      </c>
      <c r="AR49" s="7">
        <f t="shared" si="42"/>
        <v>-0.31773079999999998</v>
      </c>
      <c r="AS49" s="7">
        <f t="shared" si="43"/>
        <v>-0.23903580000000002</v>
      </c>
      <c r="AT49" s="7"/>
      <c r="AU49" s="9"/>
      <c r="AV49" s="10" t="s">
        <v>29</v>
      </c>
      <c r="AW49" s="10">
        <v>141.91229999999999</v>
      </c>
      <c r="AX49" s="10">
        <v>0.37567139999999999</v>
      </c>
      <c r="AY49" s="10">
        <v>79.353920000000002</v>
      </c>
      <c r="AZ49" s="10">
        <v>160.3869</v>
      </c>
      <c r="BA49" s="10">
        <v>0.33603480000000002</v>
      </c>
      <c r="BB49" s="7">
        <v>78.869680000000002</v>
      </c>
      <c r="BC49" s="7">
        <f t="shared" si="44"/>
        <v>-0.58432859999999998</v>
      </c>
      <c r="BD49" s="7">
        <f t="shared" si="45"/>
        <v>-0.58307909999999996</v>
      </c>
      <c r="BE49" s="7"/>
      <c r="BF49" s="9"/>
      <c r="BG49" s="10" t="s">
        <v>29</v>
      </c>
      <c r="BH49" s="10">
        <v>175.79400000000001</v>
      </c>
      <c r="BI49" s="10">
        <v>0.30618010000000001</v>
      </c>
      <c r="BJ49" s="10">
        <v>78.50658</v>
      </c>
      <c r="BK49" s="10">
        <v>203.75540000000001</v>
      </c>
      <c r="BL49" s="10">
        <v>0.26696779999999998</v>
      </c>
      <c r="BM49" s="7">
        <v>77.9114</v>
      </c>
      <c r="BN49" s="7">
        <f t="shared" si="46"/>
        <v>-0.65381990000000001</v>
      </c>
      <c r="BO49" s="7">
        <f t="shared" si="47"/>
        <v>-0.65257039999999988</v>
      </c>
      <c r="BP49" s="7"/>
    </row>
    <row r="50" spans="1:68" ht="15" thickBot="1" x14ac:dyDescent="0.35">
      <c r="A50" s="22" t="s">
        <v>41</v>
      </c>
      <c r="B50" s="8">
        <v>0.65139532142857159</v>
      </c>
      <c r="C50" s="23"/>
      <c r="D50" s="12" t="s">
        <v>41</v>
      </c>
      <c r="E50" s="12">
        <f>SUM(E32:E49)/27</f>
        <v>53.817328888888866</v>
      </c>
      <c r="F50" s="12">
        <f t="shared" ref="F50:L50" si="48">SUM(F32:F49)/27</f>
        <v>0.49049594074074071</v>
      </c>
      <c r="G50" s="12">
        <f t="shared" si="48"/>
        <v>49.104982592592606</v>
      </c>
      <c r="H50" s="12">
        <f t="shared" si="48"/>
        <v>58.351173333333328</v>
      </c>
      <c r="I50" s="12">
        <f t="shared" si="48"/>
        <v>0.45586642962962964</v>
      </c>
      <c r="J50" s="12">
        <f t="shared" si="48"/>
        <v>48.885592222222215</v>
      </c>
      <c r="K50" s="12">
        <f t="shared" si="48"/>
        <v>9.4831629629629505E-3</v>
      </c>
      <c r="L50" s="12">
        <f t="shared" si="48"/>
        <v>0</v>
      </c>
      <c r="M50" s="16">
        <f>F50-$B50</f>
        <v>-0.16089938068783088</v>
      </c>
      <c r="N50" s="23"/>
      <c r="O50" s="22" t="s">
        <v>41</v>
      </c>
      <c r="P50" s="12">
        <f t="shared" ref="P50:W50" si="49">SUM(P23:P49)/27</f>
        <v>85.066200013717406</v>
      </c>
      <c r="Q50" s="12">
        <f t="shared" si="49"/>
        <v>0.57351941522633754</v>
      </c>
      <c r="R50" s="12">
        <f t="shared" si="49"/>
        <v>72.974762208504785</v>
      </c>
      <c r="S50" s="12">
        <f t="shared" si="49"/>
        <v>92.692414513031565</v>
      </c>
      <c r="T50" s="12">
        <f t="shared" si="49"/>
        <v>0.53221997311385449</v>
      </c>
      <c r="U50" s="12">
        <f t="shared" si="49"/>
        <v>72.667956049382738</v>
      </c>
      <c r="V50" s="12">
        <f t="shared" si="49"/>
        <v>-5.5952683539094647E-2</v>
      </c>
      <c r="W50" s="12">
        <f t="shared" si="49"/>
        <v>-5.6209742935528148E-2</v>
      </c>
      <c r="X50" s="16">
        <f>Q50-$B50</f>
        <v>-7.7875906202234058E-2</v>
      </c>
      <c r="Y50" s="25"/>
      <c r="Z50" s="22" t="s">
        <v>41</v>
      </c>
      <c r="AA50" s="12">
        <f t="shared" ref="AA50:AH50" si="50">SUM(AA23:AA49)/27</f>
        <v>109.17162023319618</v>
      </c>
      <c r="AB50" s="12">
        <f t="shared" si="50"/>
        <v>0.45781691851851852</v>
      </c>
      <c r="AC50" s="12">
        <f t="shared" si="50"/>
        <v>72.057266323731127</v>
      </c>
      <c r="AD50" s="12">
        <f t="shared" si="50"/>
        <v>121.3544349931413</v>
      </c>
      <c r="AE50" s="12">
        <f t="shared" si="50"/>
        <v>0.4174819998628258</v>
      </c>
      <c r="AF50" s="12">
        <f t="shared" si="50"/>
        <v>71.672488449931421</v>
      </c>
      <c r="AG50" s="12">
        <f t="shared" si="50"/>
        <v>-0.17165518024691356</v>
      </c>
      <c r="AH50" s="12">
        <f t="shared" si="50"/>
        <v>-0.17191223964334704</v>
      </c>
      <c r="AI50" s="16">
        <f>AB50-$B50</f>
        <v>-0.19357840291005307</v>
      </c>
      <c r="AJ50" s="25"/>
      <c r="AK50" s="22" t="s">
        <v>41</v>
      </c>
      <c r="AL50" s="12">
        <f t="shared" ref="AL50:AS50" si="51">SUM(AL23:AL49)/27</f>
        <v>139.41254813443072</v>
      </c>
      <c r="AM50" s="12">
        <f t="shared" si="51"/>
        <v>0.36461262455418375</v>
      </c>
      <c r="AN50" s="12">
        <f t="shared" si="51"/>
        <v>71.152220109739375</v>
      </c>
      <c r="AO50" s="12">
        <f t="shared" si="51"/>
        <v>158.75406196159122</v>
      </c>
      <c r="AP50" s="12">
        <f t="shared" si="51"/>
        <v>0.32574688477366248</v>
      </c>
      <c r="AQ50" s="12">
        <f t="shared" si="51"/>
        <v>70.67333057613169</v>
      </c>
      <c r="AR50" s="12">
        <f t="shared" si="51"/>
        <v>-0.26485947421124834</v>
      </c>
      <c r="AS50" s="12">
        <f t="shared" si="51"/>
        <v>-0.26511653360768178</v>
      </c>
      <c r="AT50" s="16">
        <f>AM50-$B50</f>
        <v>-0.28678269687438784</v>
      </c>
      <c r="AU50" s="25"/>
      <c r="AV50" s="22" t="s">
        <v>41</v>
      </c>
      <c r="AW50" s="12">
        <f t="shared" ref="AW50:BD50" si="52">SUM(AW23:AW49)/27</f>
        <v>144.26558871056238</v>
      </c>
      <c r="AX50" s="12">
        <f t="shared" si="52"/>
        <v>0.35355082386831277</v>
      </c>
      <c r="AY50" s="12">
        <f t="shared" si="52"/>
        <v>71.024278381344303</v>
      </c>
      <c r="AZ50" s="12">
        <f t="shared" si="52"/>
        <v>165.09403685871058</v>
      </c>
      <c r="BA50" s="12">
        <f t="shared" si="52"/>
        <v>0.31444689711934154</v>
      </c>
      <c r="BB50" s="12">
        <f t="shared" si="52"/>
        <v>70.525619958847741</v>
      </c>
      <c r="BC50" s="12">
        <f t="shared" si="52"/>
        <v>-0.57089362057613169</v>
      </c>
      <c r="BD50" s="12">
        <f t="shared" si="52"/>
        <v>-0.56969039835390944</v>
      </c>
      <c r="BE50" s="16">
        <f>AX50-$B50</f>
        <v>-0.29784449756025883</v>
      </c>
      <c r="BF50" s="25"/>
      <c r="BG50" s="22" t="s">
        <v>41</v>
      </c>
      <c r="BH50" s="12">
        <f t="shared" ref="BH50:BO50" si="53">SUM(BH23:BH49)/27</f>
        <v>175.90581053497939</v>
      </c>
      <c r="BI50" s="12">
        <f t="shared" si="53"/>
        <v>0.2919094561042524</v>
      </c>
      <c r="BJ50" s="12">
        <f t="shared" si="53"/>
        <v>70.274904238683135</v>
      </c>
      <c r="BK50" s="12">
        <f t="shared" si="53"/>
        <v>206.38599385459526</v>
      </c>
      <c r="BL50" s="12">
        <f t="shared" si="53"/>
        <v>0.2537862696844993</v>
      </c>
      <c r="BM50" s="12">
        <f t="shared" si="53"/>
        <v>69.675148148148139</v>
      </c>
      <c r="BN50" s="12">
        <f t="shared" si="53"/>
        <v>-0.63253498834019206</v>
      </c>
      <c r="BO50" s="12">
        <f t="shared" si="53"/>
        <v>-0.63133176611796971</v>
      </c>
      <c r="BP50" s="16">
        <f>BI50-$B50</f>
        <v>-0.3594858653243192</v>
      </c>
    </row>
    <row r="51" spans="1:68" s="6" customFormat="1" ht="15" thickBot="1" x14ac:dyDescent="0.35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spans="1:68" x14ac:dyDescent="0.3">
      <c r="A52" s="7"/>
      <c r="B52" s="7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9"/>
      <c r="O52" s="7"/>
      <c r="P52" s="7"/>
      <c r="Q52" s="7"/>
      <c r="R52" s="7"/>
      <c r="S52" s="7"/>
      <c r="T52" s="7"/>
      <c r="U52" s="7"/>
      <c r="V52" s="7"/>
      <c r="W52" s="7"/>
      <c r="X52" s="7"/>
      <c r="Y52" s="9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9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9"/>
      <c r="AV52" s="7"/>
      <c r="AW52" s="7"/>
      <c r="AX52" s="7"/>
      <c r="AY52" s="7"/>
      <c r="AZ52" s="7"/>
      <c r="BA52" s="7"/>
      <c r="BB52" s="7"/>
      <c r="BC52" s="7"/>
      <c r="BD52" s="7"/>
      <c r="BE52" s="7"/>
    </row>
  </sheetData>
  <mergeCells count="2">
    <mergeCell ref="A2:B2"/>
    <mergeCell ref="A31:B31"/>
  </mergeCells>
  <conditionalFormatting sqref="M50 M30 X30:Y30 X50:Y50 AI30:AJ30 AI50:AJ50 AT30:AU30 AT50:AU50 BE30:BF30 BE50:BF50 BP30 BP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Jørgensen</dc:creator>
  <cp:lastModifiedBy>Christian Jørgensen</cp:lastModifiedBy>
  <dcterms:created xsi:type="dcterms:W3CDTF">2026-04-14T09:32:11Z</dcterms:created>
  <dcterms:modified xsi:type="dcterms:W3CDTF">2026-04-16T07:44:18Z</dcterms:modified>
</cp:coreProperties>
</file>