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 Lykke\Documents\Skole\Aalborg Universitet\CEAIVS8\Projekt\"/>
    </mc:Choice>
  </mc:AlternateContent>
  <xr:revisionPtr revIDLastSave="0" documentId="13_ncr:1_{CAB88BA9-5BD3-4CE8-ADDA-F00DC47106C6}" xr6:coauthVersionLast="47" xr6:coauthVersionMax="47" xr10:uidLastSave="{00000000-0000-0000-0000-000000000000}"/>
  <bookViews>
    <workbookView xWindow="-26028" yWindow="-33480" windowWidth="26136" windowHeight="45696" xr2:uid="{EF99ACB6-310A-44BF-AD38-3BDCEB2526F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D33" i="1"/>
  <c r="E33" i="1" s="1"/>
  <c r="G33" i="1" s="1"/>
  <c r="E31" i="1"/>
  <c r="G31" i="1" s="1"/>
  <c r="E32" i="1"/>
  <c r="G32" i="1" s="1"/>
  <c r="F26" i="1"/>
  <c r="G30" i="1"/>
  <c r="G27" i="1"/>
  <c r="G26" i="1"/>
  <c r="G25" i="1"/>
  <c r="G23" i="1"/>
  <c r="G17" i="1"/>
  <c r="G13" i="1"/>
  <c r="G2" i="1"/>
  <c r="F27" i="1"/>
  <c r="F25" i="1"/>
  <c r="E27" i="1"/>
  <c r="E26" i="1"/>
  <c r="E25" i="1"/>
  <c r="E23" i="1"/>
  <c r="E17" i="1"/>
  <c r="E2" i="1"/>
  <c r="D24" i="1"/>
  <c r="D25" i="1"/>
  <c r="D26" i="1"/>
  <c r="D27" i="1"/>
  <c r="D28" i="1"/>
  <c r="D29" i="1"/>
  <c r="D23" i="1"/>
  <c r="B29" i="1"/>
  <c r="B28" i="1"/>
  <c r="B2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E34" i="1"/>
  <c r="G34" i="1" s="1"/>
  <c r="D2" i="1"/>
  <c r="H2" i="1" l="1"/>
  <c r="E13" i="1"/>
  <c r="B23" i="1" l="1"/>
</calcChain>
</file>

<file path=xl/sharedStrings.xml><?xml version="1.0" encoding="utf-8"?>
<sst xmlns="http://schemas.openxmlformats.org/spreadsheetml/2006/main" count="21" uniqueCount="21">
  <si>
    <t>Materiale</t>
  </si>
  <si>
    <t>Skillerumslægte</t>
  </si>
  <si>
    <t>Taglægte</t>
  </si>
  <si>
    <t>Troldtekt (i hele plader)</t>
  </si>
  <si>
    <t>95mm Isolering (i hele batt)</t>
  </si>
  <si>
    <t>45mm Isolering (i hele batt)</t>
  </si>
  <si>
    <t>Total i m</t>
  </si>
  <si>
    <t>Total for typen i m</t>
  </si>
  <si>
    <t>Antal</t>
  </si>
  <si>
    <t>Længde i mm</t>
  </si>
  <si>
    <t>45x45mm reglar</t>
  </si>
  <si>
    <t>Akustisk transparent stof m2</t>
  </si>
  <si>
    <t>9mm krydsfiner i plader</t>
  </si>
  <si>
    <t>5x120mm skruer</t>
  </si>
  <si>
    <t>7.5x92mm karmskruer</t>
  </si>
  <si>
    <t>5x80mm skruer</t>
  </si>
  <si>
    <t>Pris pr lbm/stk/m2</t>
  </si>
  <si>
    <t>Pris i alt</t>
  </si>
  <si>
    <t>Samlet pris uden timer og spild:</t>
  </si>
  <si>
    <t>6x150mm skruer</t>
  </si>
  <si>
    <t>Med 10 % spild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</si>
</sst>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\ &quot;kr.&quot;"/>
    <numFmt numFmtId="166" formatCode="0.0"/>
    <numFmt numFmtId="167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165" fontId="0" fillId="0" borderId="15" xfId="0" applyNumberFormat="1" applyBorder="1"/>
    <xf numFmtId="165" fontId="0" fillId="0" borderId="4" xfId="0" applyNumberFormat="1" applyBorder="1"/>
    <xf numFmtId="165" fontId="0" fillId="0" borderId="7" xfId="0" applyNumberFormat="1" applyBorder="1"/>
    <xf numFmtId="165" fontId="0" fillId="0" borderId="9" xfId="0" applyNumberFormat="1" applyBorder="1"/>
    <xf numFmtId="165" fontId="0" fillId="0" borderId="12" xfId="0" applyNumberFormat="1" applyBorder="1"/>
    <xf numFmtId="165" fontId="0" fillId="0" borderId="14" xfId="0" applyNumberFormat="1" applyBorder="1"/>
    <xf numFmtId="165" fontId="0" fillId="0" borderId="19" xfId="0" applyNumberFormat="1" applyBorder="1"/>
    <xf numFmtId="165" fontId="0" fillId="0" borderId="6" xfId="0" applyNumberFormat="1" applyBorder="1"/>
    <xf numFmtId="165" fontId="0" fillId="0" borderId="1" xfId="0" applyNumberFormat="1" applyBorder="1"/>
    <xf numFmtId="165" fontId="0" fillId="0" borderId="11" xfId="0" applyNumberFormat="1" applyBorder="1"/>
    <xf numFmtId="165" fontId="0" fillId="0" borderId="3" xfId="0" applyNumberFormat="1" applyBorder="1"/>
    <xf numFmtId="165" fontId="0" fillId="0" borderId="13" xfId="0" applyNumberFormat="1" applyBorder="1"/>
    <xf numFmtId="165" fontId="0" fillId="0" borderId="18" xfId="0" applyNumberFormat="1" applyBorder="1"/>
    <xf numFmtId="166" fontId="0" fillId="0" borderId="6" xfId="0" applyNumberFormat="1" applyBorder="1"/>
    <xf numFmtId="166" fontId="0" fillId="0" borderId="1" xfId="0" applyNumberFormat="1" applyBorder="1"/>
    <xf numFmtId="166" fontId="0" fillId="0" borderId="11" xfId="0" applyNumberFormat="1" applyBorder="1"/>
    <xf numFmtId="166" fontId="0" fillId="0" borderId="3" xfId="0" applyNumberFormat="1" applyBorder="1"/>
    <xf numFmtId="166" fontId="0" fillId="0" borderId="13" xfId="0" applyNumberFormat="1" applyBorder="1"/>
    <xf numFmtId="166" fontId="0" fillId="0" borderId="18" xfId="0" applyNumberFormat="1" applyBorder="1"/>
    <xf numFmtId="167" fontId="0" fillId="0" borderId="6" xfId="0" applyNumberFormat="1" applyBorder="1"/>
    <xf numFmtId="167" fontId="0" fillId="0" borderId="1" xfId="0" applyNumberFormat="1" applyBorder="1"/>
    <xf numFmtId="167" fontId="0" fillId="0" borderId="11" xfId="0" applyNumberFormat="1" applyBorder="1"/>
    <xf numFmtId="167" fontId="0" fillId="0" borderId="3" xfId="0" applyNumberFormat="1" applyBorder="1"/>
    <xf numFmtId="167" fontId="0" fillId="0" borderId="13" xfId="0" applyNumberFormat="1" applyBorder="1"/>
    <xf numFmtId="167" fontId="0" fillId="0" borderId="1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AD56-F1E9-43DA-A43A-E2D948A9B790}">
  <dimension ref="A1:I34"/>
  <sheetViews>
    <sheetView tabSelected="1" workbookViewId="0">
      <selection activeCell="B2" sqref="B2:D34"/>
    </sheetView>
  </sheetViews>
  <sheetFormatPr defaultRowHeight="14.4" x14ac:dyDescent="0.3"/>
  <cols>
    <col min="1" max="1" width="23.88671875" bestFit="1" customWidth="1"/>
    <col min="2" max="2" width="11.6640625" bestFit="1" customWidth="1"/>
    <col min="3" max="3" width="7.33203125" customWidth="1"/>
    <col min="4" max="4" width="8.5546875" bestFit="1" customWidth="1"/>
    <col min="5" max="5" width="15" bestFit="1" customWidth="1"/>
    <col min="6" max="6" width="15.77734375" bestFit="1" customWidth="1"/>
    <col min="7" max="7" width="10.5546875" bestFit="1" customWidth="1"/>
    <col min="8" max="8" width="25.5546875" bestFit="1" customWidth="1"/>
    <col min="9" max="9" width="12.77734375" bestFit="1" customWidth="1"/>
  </cols>
  <sheetData>
    <row r="1" spans="1:9" ht="15" thickBot="1" x14ac:dyDescent="0.35">
      <c r="A1" s="1" t="s">
        <v>0</v>
      </c>
      <c r="B1" s="2" t="s">
        <v>9</v>
      </c>
      <c r="C1" s="2" t="s">
        <v>8</v>
      </c>
      <c r="D1" s="2" t="s">
        <v>6</v>
      </c>
      <c r="E1" s="2" t="s">
        <v>7</v>
      </c>
      <c r="F1" s="2" t="s">
        <v>16</v>
      </c>
      <c r="G1" s="2" t="s">
        <v>17</v>
      </c>
      <c r="H1" s="7" t="s">
        <v>18</v>
      </c>
      <c r="I1" s="8" t="s">
        <v>20</v>
      </c>
    </row>
    <row r="2" spans="1:9" ht="15" thickBot="1" x14ac:dyDescent="0.35">
      <c r="A2" s="3" t="s">
        <v>1</v>
      </c>
      <c r="B2" s="24">
        <v>480</v>
      </c>
      <c r="C2" s="24">
        <v>46</v>
      </c>
      <c r="D2" s="24">
        <f>(B2*C2)/1000</f>
        <v>22.08</v>
      </c>
      <c r="E2" s="30">
        <f>SUM(D2:D12)</f>
        <v>61.947999999999993</v>
      </c>
      <c r="F2" s="18">
        <v>9</v>
      </c>
      <c r="G2" s="13">
        <f>F2*E2</f>
        <v>557.53199999999993</v>
      </c>
      <c r="H2" s="11">
        <f>SUM(G2:G49)</f>
        <v>11431.859928571428</v>
      </c>
      <c r="I2" s="12">
        <f>H2*1.1</f>
        <v>12575.045921428571</v>
      </c>
    </row>
    <row r="3" spans="1:9" x14ac:dyDescent="0.3">
      <c r="A3" s="4"/>
      <c r="B3" s="25">
        <v>2000</v>
      </c>
      <c r="C3" s="25">
        <v>4</v>
      </c>
      <c r="D3" s="25">
        <f t="shared" ref="D3:D35" si="0">(B3*C3)/1000</f>
        <v>8</v>
      </c>
      <c r="E3" s="31"/>
      <c r="F3" s="19"/>
      <c r="G3" s="14"/>
      <c r="H3" s="6"/>
      <c r="I3" s="6"/>
    </row>
    <row r="4" spans="1:9" x14ac:dyDescent="0.3">
      <c r="A4" s="4"/>
      <c r="B4" s="25">
        <v>1100</v>
      </c>
      <c r="C4" s="25">
        <v>4</v>
      </c>
      <c r="D4" s="25">
        <f t="shared" si="0"/>
        <v>4.4000000000000004</v>
      </c>
      <c r="E4" s="31"/>
      <c r="F4" s="19"/>
      <c r="G4" s="14"/>
      <c r="H4" s="6"/>
      <c r="I4" s="6"/>
    </row>
    <row r="5" spans="1:9" x14ac:dyDescent="0.3">
      <c r="A5" s="4"/>
      <c r="B5" s="25">
        <v>312</v>
      </c>
      <c r="C5" s="25">
        <v>4</v>
      </c>
      <c r="D5" s="25">
        <f t="shared" si="0"/>
        <v>1.248</v>
      </c>
      <c r="E5" s="31"/>
      <c r="F5" s="19"/>
      <c r="G5" s="14"/>
      <c r="H5" s="6"/>
      <c r="I5" s="6"/>
    </row>
    <row r="6" spans="1:9" x14ac:dyDescent="0.3">
      <c r="A6" s="4"/>
      <c r="B6" s="25">
        <v>524</v>
      </c>
      <c r="C6" s="25">
        <v>9</v>
      </c>
      <c r="D6" s="25">
        <f t="shared" si="0"/>
        <v>4.7160000000000002</v>
      </c>
      <c r="E6" s="31"/>
      <c r="F6" s="19"/>
      <c r="G6" s="14"/>
      <c r="H6" s="6"/>
      <c r="I6" s="6"/>
    </row>
    <row r="7" spans="1:9" x14ac:dyDescent="0.3">
      <c r="A7" s="4"/>
      <c r="B7" s="25">
        <v>600</v>
      </c>
      <c r="C7" s="25">
        <v>20</v>
      </c>
      <c r="D7" s="25">
        <f t="shared" si="0"/>
        <v>12</v>
      </c>
      <c r="E7" s="31"/>
      <c r="F7" s="19"/>
      <c r="G7" s="14"/>
      <c r="H7" s="6"/>
      <c r="I7" s="6"/>
    </row>
    <row r="8" spans="1:9" x14ac:dyDescent="0.3">
      <c r="A8" s="4"/>
      <c r="B8" s="25">
        <v>179</v>
      </c>
      <c r="C8" s="25">
        <v>16</v>
      </c>
      <c r="D8" s="25">
        <f t="shared" si="0"/>
        <v>2.8639999999999999</v>
      </c>
      <c r="E8" s="31"/>
      <c r="F8" s="19"/>
      <c r="G8" s="14"/>
      <c r="H8" s="6"/>
      <c r="I8" s="6"/>
    </row>
    <row r="9" spans="1:9" x14ac:dyDescent="0.3">
      <c r="A9" s="4"/>
      <c r="B9" s="25">
        <v>32</v>
      </c>
      <c r="C9" s="25">
        <v>16</v>
      </c>
      <c r="D9" s="25">
        <f t="shared" si="0"/>
        <v>0.51200000000000001</v>
      </c>
      <c r="E9" s="31"/>
      <c r="F9" s="19"/>
      <c r="G9" s="14"/>
      <c r="H9" s="6"/>
      <c r="I9" s="6"/>
    </row>
    <row r="10" spans="1:9" x14ac:dyDescent="0.3">
      <c r="A10" s="4"/>
      <c r="B10" s="25">
        <v>150</v>
      </c>
      <c r="C10" s="25">
        <v>8</v>
      </c>
      <c r="D10" s="25">
        <f t="shared" si="0"/>
        <v>1.2</v>
      </c>
      <c r="E10" s="31"/>
      <c r="F10" s="19"/>
      <c r="G10" s="14"/>
      <c r="H10" s="6"/>
      <c r="I10" s="6"/>
    </row>
    <row r="11" spans="1:9" x14ac:dyDescent="0.3">
      <c r="A11" s="4"/>
      <c r="B11" s="25">
        <v>13</v>
      </c>
      <c r="C11" s="25">
        <v>8</v>
      </c>
      <c r="D11" s="25">
        <f t="shared" si="0"/>
        <v>0.104</v>
      </c>
      <c r="E11" s="31"/>
      <c r="F11" s="19"/>
      <c r="G11" s="14"/>
      <c r="H11" s="6"/>
      <c r="I11" s="6"/>
    </row>
    <row r="12" spans="1:9" ht="15" thickBot="1" x14ac:dyDescent="0.35">
      <c r="A12" s="5"/>
      <c r="B12" s="26">
        <v>603</v>
      </c>
      <c r="C12" s="26">
        <v>8</v>
      </c>
      <c r="D12" s="26">
        <f t="shared" si="0"/>
        <v>4.8239999999999998</v>
      </c>
      <c r="E12" s="32"/>
      <c r="F12" s="20"/>
      <c r="G12" s="15"/>
      <c r="H12" s="6"/>
      <c r="I12" s="6"/>
    </row>
    <row r="13" spans="1:9" x14ac:dyDescent="0.3">
      <c r="A13" s="3" t="s">
        <v>10</v>
      </c>
      <c r="B13" s="24">
        <v>3925</v>
      </c>
      <c r="C13" s="24">
        <v>2</v>
      </c>
      <c r="D13" s="24">
        <f t="shared" si="0"/>
        <v>7.85</v>
      </c>
      <c r="E13" s="30">
        <f>SUM(D13:D16)</f>
        <v>41.686000000000007</v>
      </c>
      <c r="F13" s="18">
        <v>9</v>
      </c>
      <c r="G13" s="13">
        <f>F13*E13</f>
        <v>375.17400000000009</v>
      </c>
      <c r="H13" s="6"/>
      <c r="I13" s="6"/>
    </row>
    <row r="14" spans="1:9" x14ac:dyDescent="0.3">
      <c r="A14" s="4"/>
      <c r="B14" s="25">
        <v>6948</v>
      </c>
      <c r="C14" s="25">
        <v>2</v>
      </c>
      <c r="D14" s="25">
        <f t="shared" si="0"/>
        <v>13.896000000000001</v>
      </c>
      <c r="E14" s="31"/>
      <c r="F14" s="19"/>
      <c r="G14" s="14"/>
      <c r="H14" s="6"/>
      <c r="I14" s="6"/>
    </row>
    <row r="15" spans="1:9" x14ac:dyDescent="0.3">
      <c r="A15" s="4"/>
      <c r="B15" s="25">
        <v>5730</v>
      </c>
      <c r="C15" s="25">
        <v>2</v>
      </c>
      <c r="D15" s="25">
        <f t="shared" si="0"/>
        <v>11.46</v>
      </c>
      <c r="E15" s="31"/>
      <c r="F15" s="19"/>
      <c r="G15" s="14"/>
      <c r="H15" s="6"/>
      <c r="I15" s="6"/>
    </row>
    <row r="16" spans="1:9" ht="15" thickBot="1" x14ac:dyDescent="0.35">
      <c r="A16" s="5"/>
      <c r="B16" s="26">
        <v>4240</v>
      </c>
      <c r="C16" s="26">
        <v>2</v>
      </c>
      <c r="D16" s="26">
        <f t="shared" si="0"/>
        <v>8.48</v>
      </c>
      <c r="E16" s="32"/>
      <c r="F16" s="20"/>
      <c r="G16" s="15"/>
      <c r="H16" s="6"/>
      <c r="I16" s="6"/>
    </row>
    <row r="17" spans="1:9" x14ac:dyDescent="0.3">
      <c r="A17" s="3" t="s">
        <v>2</v>
      </c>
      <c r="B17" s="24">
        <v>3925</v>
      </c>
      <c r="C17" s="24">
        <v>2</v>
      </c>
      <c r="D17" s="24">
        <f t="shared" si="0"/>
        <v>7.85</v>
      </c>
      <c r="E17" s="30">
        <f>SUM(D17:D22)</f>
        <v>75.486000000000004</v>
      </c>
      <c r="F17" s="18">
        <v>12.5</v>
      </c>
      <c r="G17" s="13">
        <f>F17*E17</f>
        <v>943.57500000000005</v>
      </c>
      <c r="H17" s="6"/>
      <c r="I17" s="6"/>
    </row>
    <row r="18" spans="1:9" x14ac:dyDescent="0.3">
      <c r="A18" s="4"/>
      <c r="B18" s="25">
        <v>6948</v>
      </c>
      <c r="C18" s="25">
        <v>2</v>
      </c>
      <c r="D18" s="25">
        <f t="shared" si="0"/>
        <v>13.896000000000001</v>
      </c>
      <c r="E18" s="31"/>
      <c r="F18" s="19"/>
      <c r="G18" s="14"/>
      <c r="H18" s="6"/>
      <c r="I18" s="6"/>
    </row>
    <row r="19" spans="1:9" x14ac:dyDescent="0.3">
      <c r="A19" s="4"/>
      <c r="B19" s="25">
        <v>5730</v>
      </c>
      <c r="C19" s="25">
        <v>2</v>
      </c>
      <c r="D19" s="25">
        <f t="shared" si="0"/>
        <v>11.46</v>
      </c>
      <c r="E19" s="31"/>
      <c r="F19" s="19"/>
      <c r="G19" s="14"/>
      <c r="H19" s="6"/>
      <c r="I19" s="6"/>
    </row>
    <row r="20" spans="1:9" x14ac:dyDescent="0.3">
      <c r="A20" s="4"/>
      <c r="B20" s="25">
        <v>4240</v>
      </c>
      <c r="C20" s="25">
        <v>2</v>
      </c>
      <c r="D20" s="25">
        <f t="shared" si="0"/>
        <v>8.48</v>
      </c>
      <c r="E20" s="31"/>
      <c r="F20" s="19"/>
      <c r="G20" s="14"/>
      <c r="H20" s="6"/>
      <c r="I20" s="6"/>
    </row>
    <row r="21" spans="1:9" x14ac:dyDescent="0.3">
      <c r="A21" s="4"/>
      <c r="B21" s="25">
        <v>150</v>
      </c>
      <c r="C21" s="25">
        <v>52</v>
      </c>
      <c r="D21" s="25">
        <f t="shared" si="0"/>
        <v>7.8</v>
      </c>
      <c r="E21" s="31"/>
      <c r="F21" s="19"/>
      <c r="G21" s="14"/>
      <c r="H21" s="6"/>
      <c r="I21" s="6"/>
    </row>
    <row r="22" spans="1:9" ht="15" thickBot="1" x14ac:dyDescent="0.35">
      <c r="A22" s="5"/>
      <c r="B22" s="26">
        <v>500</v>
      </c>
      <c r="C22" s="26">
        <v>52</v>
      </c>
      <c r="D22" s="26">
        <f t="shared" si="0"/>
        <v>26</v>
      </c>
      <c r="E22" s="32"/>
      <c r="F22" s="20"/>
      <c r="G22" s="15"/>
      <c r="H22" s="6"/>
      <c r="I22" s="6"/>
    </row>
    <row r="23" spans="1:9" x14ac:dyDescent="0.3">
      <c r="A23" s="3" t="s">
        <v>3</v>
      </c>
      <c r="B23" s="24">
        <f>ROUNDUP(E13/1.2,0)</f>
        <v>35</v>
      </c>
      <c r="C23" s="24">
        <v>1</v>
      </c>
      <c r="D23" s="24">
        <f>(B23*C23)</f>
        <v>35</v>
      </c>
      <c r="E23" s="30">
        <f>D23+D24</f>
        <v>49</v>
      </c>
      <c r="F23" s="18">
        <v>119</v>
      </c>
      <c r="G23" s="13">
        <f>F23*E23</f>
        <v>5831</v>
      </c>
      <c r="H23" s="6"/>
      <c r="I23" s="6"/>
    </row>
    <row r="24" spans="1:9" ht="15" thickBot="1" x14ac:dyDescent="0.35">
      <c r="A24" s="5"/>
      <c r="B24" s="26">
        <v>14</v>
      </c>
      <c r="C24" s="26">
        <v>1</v>
      </c>
      <c r="D24" s="26">
        <f t="shared" ref="D24:D29" si="1">(B24*C24)</f>
        <v>14</v>
      </c>
      <c r="E24" s="32"/>
      <c r="F24" s="20"/>
      <c r="G24" s="15"/>
      <c r="H24" s="6"/>
      <c r="I24" s="6"/>
    </row>
    <row r="25" spans="1:9" ht="15" thickBot="1" x14ac:dyDescent="0.35">
      <c r="A25" s="1" t="s">
        <v>4</v>
      </c>
      <c r="B25" s="27">
        <v>26</v>
      </c>
      <c r="C25" s="27">
        <v>1</v>
      </c>
      <c r="D25" s="27">
        <f t="shared" si="1"/>
        <v>26</v>
      </c>
      <c r="E25" s="33">
        <f>D25</f>
        <v>26</v>
      </c>
      <c r="F25" s="21">
        <f>189/8</f>
        <v>23.625</v>
      </c>
      <c r="G25" s="12">
        <f>F25*E25</f>
        <v>614.25</v>
      </c>
      <c r="H25" s="6"/>
      <c r="I25" s="6"/>
    </row>
    <row r="26" spans="1:9" ht="15" thickBot="1" x14ac:dyDescent="0.35">
      <c r="A26" s="1" t="s">
        <v>5</v>
      </c>
      <c r="B26" s="27">
        <v>22</v>
      </c>
      <c r="C26" s="27">
        <v>1</v>
      </c>
      <c r="D26" s="27">
        <f t="shared" si="1"/>
        <v>22</v>
      </c>
      <c r="E26" s="33">
        <f>D26</f>
        <v>22</v>
      </c>
      <c r="F26" s="21">
        <f>169/8</f>
        <v>21.125</v>
      </c>
      <c r="G26" s="12">
        <f>F26*E26</f>
        <v>464.75</v>
      </c>
      <c r="H26" s="6"/>
      <c r="I26" s="6"/>
    </row>
    <row r="27" spans="1:9" x14ac:dyDescent="0.3">
      <c r="A27" s="3" t="s">
        <v>11</v>
      </c>
      <c r="B27" s="24">
        <f>E13/2*0.235</f>
        <v>4.8981050000000002</v>
      </c>
      <c r="C27" s="24">
        <v>1</v>
      </c>
      <c r="D27" s="24">
        <f t="shared" si="1"/>
        <v>4.8981050000000002</v>
      </c>
      <c r="E27" s="30">
        <f>SUM(D27:D29)</f>
        <v>8.6181049999999999</v>
      </c>
      <c r="F27" s="18">
        <f>100/1.4</f>
        <v>71.428571428571431</v>
      </c>
      <c r="G27" s="13">
        <f>F27*E27</f>
        <v>615.57892857142861</v>
      </c>
      <c r="H27" s="6"/>
      <c r="I27" s="6"/>
    </row>
    <row r="28" spans="1:9" x14ac:dyDescent="0.3">
      <c r="A28" s="4"/>
      <c r="B28" s="25">
        <f>0.6*1.3*2+0.6*2*0.6</f>
        <v>2.2800000000000002</v>
      </c>
      <c r="C28" s="25">
        <v>1</v>
      </c>
      <c r="D28" s="25">
        <f t="shared" si="1"/>
        <v>2.2800000000000002</v>
      </c>
      <c r="E28" s="31"/>
      <c r="F28" s="19"/>
      <c r="G28" s="14"/>
      <c r="H28" s="6"/>
      <c r="I28" s="6"/>
    </row>
    <row r="29" spans="1:9" ht="15" thickBot="1" x14ac:dyDescent="0.35">
      <c r="A29" s="5"/>
      <c r="B29" s="26">
        <f>0.6*0.6*4</f>
        <v>1.44</v>
      </c>
      <c r="C29" s="26">
        <v>1</v>
      </c>
      <c r="D29" s="26">
        <f t="shared" si="1"/>
        <v>1.44</v>
      </c>
      <c r="E29" s="32"/>
      <c r="F29" s="20"/>
      <c r="G29" s="15"/>
      <c r="H29" s="6"/>
      <c r="I29" s="6"/>
    </row>
    <row r="30" spans="1:9" ht="15" thickBot="1" x14ac:dyDescent="0.35">
      <c r="A30" s="1" t="s">
        <v>12</v>
      </c>
      <c r="B30" s="27">
        <v>1</v>
      </c>
      <c r="C30" s="27">
        <v>1</v>
      </c>
      <c r="D30" s="27">
        <v>1</v>
      </c>
      <c r="E30" s="33">
        <v>1</v>
      </c>
      <c r="F30" s="21">
        <v>299</v>
      </c>
      <c r="G30" s="12">
        <f>F30*E30</f>
        <v>299</v>
      </c>
      <c r="H30" s="6"/>
      <c r="I30" s="6"/>
    </row>
    <row r="31" spans="1:9" ht="15" thickBot="1" x14ac:dyDescent="0.35">
      <c r="A31" s="1" t="s">
        <v>13</v>
      </c>
      <c r="B31" s="27">
        <v>200</v>
      </c>
      <c r="C31" s="27">
        <v>3</v>
      </c>
      <c r="D31" s="27">
        <v>3</v>
      </c>
      <c r="E31" s="33">
        <f>D31</f>
        <v>3</v>
      </c>
      <c r="F31" s="21">
        <v>229</v>
      </c>
      <c r="G31" s="12">
        <f>F31*E31</f>
        <v>687</v>
      </c>
      <c r="H31" s="6"/>
      <c r="I31" s="6"/>
    </row>
    <row r="32" spans="1:9" ht="15" thickBot="1" x14ac:dyDescent="0.35">
      <c r="A32" s="9" t="s">
        <v>14</v>
      </c>
      <c r="B32" s="28">
        <v>100</v>
      </c>
      <c r="C32" s="28">
        <v>2</v>
      </c>
      <c r="D32" s="28">
        <v>2</v>
      </c>
      <c r="E32" s="34">
        <f>D32</f>
        <v>2</v>
      </c>
      <c r="F32" s="22">
        <v>169</v>
      </c>
      <c r="G32" s="16">
        <f>F32*E32</f>
        <v>338</v>
      </c>
      <c r="H32" s="6"/>
      <c r="I32" s="6"/>
    </row>
    <row r="33" spans="1:9" ht="15" thickBot="1" x14ac:dyDescent="0.35">
      <c r="A33" s="1" t="s">
        <v>15</v>
      </c>
      <c r="B33" s="27">
        <v>250</v>
      </c>
      <c r="C33" s="27">
        <v>3</v>
      </c>
      <c r="D33" s="27">
        <f>C33</f>
        <v>3</v>
      </c>
      <c r="E33" s="33">
        <f t="shared" ref="E33:E35" si="2">D33</f>
        <v>3</v>
      </c>
      <c r="F33" s="21">
        <v>159</v>
      </c>
      <c r="G33" s="12">
        <f>F33*E33</f>
        <v>477</v>
      </c>
      <c r="H33" s="6"/>
      <c r="I33" s="6"/>
    </row>
    <row r="34" spans="1:9" ht="15" thickBot="1" x14ac:dyDescent="0.35">
      <c r="A34" s="10" t="s">
        <v>19</v>
      </c>
      <c r="B34" s="29">
        <v>100</v>
      </c>
      <c r="C34" s="29">
        <v>1</v>
      </c>
      <c r="D34" s="29">
        <v>1</v>
      </c>
      <c r="E34" s="35">
        <f t="shared" si="2"/>
        <v>1</v>
      </c>
      <c r="F34" s="23">
        <v>229</v>
      </c>
      <c r="G34" s="17">
        <f>F34*E34</f>
        <v>229</v>
      </c>
      <c r="H34" s="6"/>
      <c r="I3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Jørgensen</dc:creator>
  <cp:lastModifiedBy>Christian Jørgensen</cp:lastModifiedBy>
  <dcterms:created xsi:type="dcterms:W3CDTF">2026-04-30T22:14:13Z</dcterms:created>
  <dcterms:modified xsi:type="dcterms:W3CDTF">2026-04-30T23:19:54Z</dcterms:modified>
</cp:coreProperties>
</file>