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8\Projekt\Lydfiler\impulseResponseMeasurerData\"/>
    </mc:Choice>
  </mc:AlternateContent>
  <xr:revisionPtr revIDLastSave="0" documentId="8_{CA05F9A5-994E-4398-890C-761546F5A522}" xr6:coauthVersionLast="47" xr6:coauthVersionMax="47" xr10:uidLastSave="{00000000-0000-0000-0000-000000000000}"/>
  <bookViews>
    <workbookView xWindow="-120" yWindow="-21720" windowWidth="38640" windowHeight="21240" xr2:uid="{4D278BF0-5144-496E-BFC7-CFB5FE61015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H32" i="1"/>
  <c r="G32" i="1"/>
  <c r="E32" i="1"/>
  <c r="D32" i="1"/>
  <c r="C32" i="1"/>
  <c r="B32" i="1"/>
  <c r="F32" i="1"/>
  <c r="Q32" i="1"/>
  <c r="P32" i="1"/>
  <c r="U32" i="1"/>
  <c r="T32" i="1"/>
  <c r="S32" i="1"/>
  <c r="R32" i="1"/>
  <c r="O32" i="1"/>
  <c r="N32" i="1"/>
  <c r="I32" i="1"/>
  <c r="J32" i="1"/>
</calcChain>
</file>

<file path=xl/sharedStrings.xml><?xml version="1.0" encoding="utf-8"?>
<sst xmlns="http://schemas.openxmlformats.org/spreadsheetml/2006/main" count="93" uniqueCount="18">
  <si>
    <t>Frequency</t>
  </si>
  <si>
    <t>EDT</t>
  </si>
  <si>
    <t>RT10</t>
  </si>
  <si>
    <t>RT20</t>
  </si>
  <si>
    <t>RT30</t>
  </si>
  <si>
    <t>RT60</t>
  </si>
  <si>
    <t>C50</t>
  </si>
  <si>
    <t>C80</t>
  </si>
  <si>
    <t>D50</t>
  </si>
  <si>
    <t>D80</t>
  </si>
  <si>
    <t>_______________</t>
  </si>
  <si>
    <t>________</t>
  </si>
  <si>
    <t>_________</t>
  </si>
  <si>
    <t>_______</t>
  </si>
  <si>
    <t>NaN</t>
  </si>
  <si>
    <t>Sweep</t>
  </si>
  <si>
    <t>average:</t>
  </si>
  <si>
    <t>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</si>
</sst>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57F2-BDDA-4B86-B811-3E649D61B89B}">
  <dimension ref="A1:U32"/>
  <sheetViews>
    <sheetView tabSelected="1" workbookViewId="0">
      <selection activeCell="O36" sqref="O36"/>
    </sheetView>
  </sheetViews>
  <sheetFormatPr defaultRowHeight="14.4" x14ac:dyDescent="0.3"/>
  <cols>
    <col min="2" max="2" width="9.5546875" bestFit="1" customWidth="1"/>
  </cols>
  <sheetData>
    <row r="1" spans="1:21" x14ac:dyDescent="0.3">
      <c r="A1" t="s">
        <v>15</v>
      </c>
      <c r="L1" t="s">
        <v>17</v>
      </c>
    </row>
    <row r="2" spans="1:2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s="1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</row>
    <row r="3" spans="1:21" x14ac:dyDescent="0.3">
      <c r="A3" s="1" t="s">
        <v>10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11</v>
      </c>
      <c r="J3" t="s">
        <v>13</v>
      </c>
      <c r="L3" s="1" t="s">
        <v>10</v>
      </c>
      <c r="M3" t="s">
        <v>11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11</v>
      </c>
      <c r="U3" t="s">
        <v>13</v>
      </c>
    </row>
    <row r="4" spans="1:21" x14ac:dyDescent="0.3">
      <c r="A4" s="2"/>
      <c r="L4" s="2"/>
    </row>
    <row r="5" spans="1:21" x14ac:dyDescent="0.3">
      <c r="A5" s="3">
        <v>50</v>
      </c>
      <c r="B5">
        <v>4.7202999999999999</v>
      </c>
      <c r="C5">
        <v>2.9542999999999999</v>
      </c>
      <c r="D5" t="s">
        <v>14</v>
      </c>
      <c r="E5" t="s">
        <v>14</v>
      </c>
      <c r="F5" t="s">
        <v>14</v>
      </c>
      <c r="G5">
        <v>-11.893000000000001</v>
      </c>
      <c r="H5">
        <v>-10.016</v>
      </c>
      <c r="I5">
        <v>6.1318999999999999E-2</v>
      </c>
      <c r="J5">
        <v>9.0329999999999994E-2</v>
      </c>
      <c r="L5" s="3">
        <v>50</v>
      </c>
      <c r="M5">
        <v>2.5847000000000002</v>
      </c>
      <c r="N5">
        <v>1.3911</v>
      </c>
      <c r="O5" t="s">
        <v>14</v>
      </c>
      <c r="P5" t="s">
        <v>14</v>
      </c>
      <c r="Q5" t="s">
        <v>14</v>
      </c>
      <c r="R5">
        <v>-9.9519000000000002</v>
      </c>
      <c r="S5">
        <v>-7.8407999999999998</v>
      </c>
      <c r="T5">
        <v>0.13497000000000001</v>
      </c>
      <c r="U5">
        <v>0.19364999999999999</v>
      </c>
    </row>
    <row r="6" spans="1:21" x14ac:dyDescent="0.3">
      <c r="A6" s="3">
        <v>63</v>
      </c>
      <c r="B6">
        <v>3.2423000000000002</v>
      </c>
      <c r="C6">
        <v>4.1555999999999997</v>
      </c>
      <c r="D6" t="s">
        <v>14</v>
      </c>
      <c r="E6" t="s">
        <v>14</v>
      </c>
      <c r="F6" t="s">
        <v>14</v>
      </c>
      <c r="G6">
        <v>-5.4706000000000001</v>
      </c>
      <c r="H6">
        <v>-3.2848999999999999</v>
      </c>
      <c r="I6">
        <v>0.28355000000000002</v>
      </c>
      <c r="J6">
        <v>0.37213000000000002</v>
      </c>
      <c r="L6" s="3">
        <v>63</v>
      </c>
      <c r="M6">
        <v>1.4337</v>
      </c>
      <c r="N6">
        <v>2.4434999999999998</v>
      </c>
      <c r="O6" t="s">
        <v>14</v>
      </c>
      <c r="P6" t="s">
        <v>14</v>
      </c>
      <c r="Q6" t="s">
        <v>14</v>
      </c>
      <c r="R6">
        <v>-5.3316999999999997</v>
      </c>
      <c r="S6">
        <v>-3.2006999999999999</v>
      </c>
      <c r="T6">
        <v>0.28987000000000002</v>
      </c>
      <c r="U6">
        <v>0.37319999999999998</v>
      </c>
    </row>
    <row r="7" spans="1:21" x14ac:dyDescent="0.3">
      <c r="A7" s="3">
        <v>80</v>
      </c>
      <c r="B7">
        <v>0.78737000000000001</v>
      </c>
      <c r="C7">
        <v>1.4276</v>
      </c>
      <c r="D7" t="s">
        <v>14</v>
      </c>
      <c r="E7" t="s">
        <v>14</v>
      </c>
      <c r="F7" t="s">
        <v>14</v>
      </c>
      <c r="G7">
        <v>-1.7573000000000001</v>
      </c>
      <c r="H7">
        <v>0.95896999999999999</v>
      </c>
      <c r="I7">
        <v>0.40908</v>
      </c>
      <c r="J7">
        <v>0.54729000000000005</v>
      </c>
      <c r="L7" s="3">
        <v>80</v>
      </c>
      <c r="M7">
        <v>1.0101</v>
      </c>
      <c r="N7">
        <v>2.0333000000000001</v>
      </c>
      <c r="O7">
        <v>3.7919999999999998</v>
      </c>
      <c r="P7" t="s">
        <v>14</v>
      </c>
      <c r="Q7">
        <v>11.375999999999999</v>
      </c>
      <c r="R7">
        <v>-2.8283999999999998</v>
      </c>
      <c r="S7">
        <v>-0.4864</v>
      </c>
      <c r="T7">
        <v>0.36194999999999999</v>
      </c>
      <c r="U7">
        <v>0.47742000000000001</v>
      </c>
    </row>
    <row r="8" spans="1:21" x14ac:dyDescent="0.3">
      <c r="A8" s="3">
        <v>100</v>
      </c>
      <c r="B8">
        <v>1.45</v>
      </c>
      <c r="C8">
        <v>2.4045000000000001</v>
      </c>
      <c r="D8" t="s">
        <v>14</v>
      </c>
      <c r="E8" t="s">
        <v>14</v>
      </c>
      <c r="F8" t="s">
        <v>14</v>
      </c>
      <c r="G8">
        <v>-0.89122000000000001</v>
      </c>
      <c r="H8">
        <v>1.52</v>
      </c>
      <c r="I8">
        <v>0.47238000000000002</v>
      </c>
      <c r="J8">
        <v>0.58643000000000001</v>
      </c>
      <c r="L8" s="3">
        <v>100</v>
      </c>
      <c r="M8">
        <v>0.60299000000000003</v>
      </c>
      <c r="N8">
        <v>2.7930000000000001</v>
      </c>
      <c r="O8" t="s">
        <v>14</v>
      </c>
      <c r="P8" t="s">
        <v>14</v>
      </c>
      <c r="Q8" t="s">
        <v>14</v>
      </c>
      <c r="R8">
        <v>-1.9683999999999999</v>
      </c>
      <c r="S8">
        <v>0.26305000000000001</v>
      </c>
      <c r="T8">
        <v>0.43070000000000003</v>
      </c>
      <c r="U8">
        <v>0.53544999999999998</v>
      </c>
    </row>
    <row r="9" spans="1:21" x14ac:dyDescent="0.3">
      <c r="A9" s="3">
        <v>125</v>
      </c>
      <c r="B9">
        <v>0.28173999999999999</v>
      </c>
      <c r="C9">
        <v>2.5371999999999999</v>
      </c>
      <c r="D9" t="s">
        <v>14</v>
      </c>
      <c r="E9" t="s">
        <v>14</v>
      </c>
      <c r="F9" t="s">
        <v>14</v>
      </c>
      <c r="G9">
        <v>1.0235000000000001</v>
      </c>
      <c r="H9">
        <v>4.1279000000000003</v>
      </c>
      <c r="I9">
        <v>0.55559000000000003</v>
      </c>
      <c r="J9">
        <v>0.69984000000000002</v>
      </c>
      <c r="L9" s="3">
        <v>125</v>
      </c>
      <c r="M9">
        <v>0.26605000000000001</v>
      </c>
      <c r="N9">
        <v>0.80115000000000003</v>
      </c>
      <c r="O9" t="s">
        <v>14</v>
      </c>
      <c r="P9" t="s">
        <v>14</v>
      </c>
      <c r="Q9" t="s">
        <v>14</v>
      </c>
      <c r="R9">
        <v>0.82855999999999996</v>
      </c>
      <c r="S9">
        <v>4.2713000000000001</v>
      </c>
      <c r="T9">
        <v>0.54242000000000001</v>
      </c>
      <c r="U9">
        <v>0.70289000000000001</v>
      </c>
    </row>
    <row r="10" spans="1:21" x14ac:dyDescent="0.3">
      <c r="A10" s="3">
        <v>160</v>
      </c>
      <c r="B10">
        <v>0.12059</v>
      </c>
      <c r="C10">
        <v>0.11824999999999999</v>
      </c>
      <c r="D10">
        <v>0.23966000000000001</v>
      </c>
      <c r="E10" t="s">
        <v>14</v>
      </c>
      <c r="F10">
        <v>0.71897</v>
      </c>
      <c r="G10">
        <v>2.3580000000000001</v>
      </c>
      <c r="H10">
        <v>6.2133000000000003</v>
      </c>
      <c r="I10">
        <v>0.62067000000000005</v>
      </c>
      <c r="J10">
        <v>0.78944000000000003</v>
      </c>
      <c r="L10" s="3">
        <v>160</v>
      </c>
      <c r="M10">
        <v>0.24082000000000001</v>
      </c>
      <c r="N10">
        <v>0.14902000000000001</v>
      </c>
      <c r="O10">
        <v>0.26319999999999999</v>
      </c>
      <c r="P10" t="s">
        <v>14</v>
      </c>
      <c r="Q10">
        <v>0.78961000000000003</v>
      </c>
      <c r="R10">
        <v>2.0339</v>
      </c>
      <c r="S10">
        <v>5.7057000000000002</v>
      </c>
      <c r="T10">
        <v>0.60626000000000002</v>
      </c>
      <c r="U10">
        <v>0.76812000000000002</v>
      </c>
    </row>
    <row r="11" spans="1:21" x14ac:dyDescent="0.3">
      <c r="A11" s="3">
        <v>200</v>
      </c>
      <c r="B11">
        <v>0.28009000000000001</v>
      </c>
      <c r="C11">
        <v>1.3498000000000001</v>
      </c>
      <c r="D11">
        <v>0.21903</v>
      </c>
      <c r="E11" t="s">
        <v>14</v>
      </c>
      <c r="F11">
        <v>0.65708</v>
      </c>
      <c r="G11">
        <v>2.2427000000000001</v>
      </c>
      <c r="H11">
        <v>5.8334000000000001</v>
      </c>
      <c r="I11">
        <v>0.60824999999999996</v>
      </c>
      <c r="J11">
        <v>0.75953999999999999</v>
      </c>
      <c r="L11" s="3">
        <v>200</v>
      </c>
      <c r="M11">
        <v>0.64075000000000004</v>
      </c>
      <c r="N11">
        <v>0.64271</v>
      </c>
      <c r="O11">
        <v>0.21174000000000001</v>
      </c>
      <c r="P11" t="s">
        <v>14</v>
      </c>
      <c r="Q11">
        <v>0.63521000000000005</v>
      </c>
      <c r="R11">
        <v>1.9676</v>
      </c>
      <c r="S11">
        <v>5.4664000000000001</v>
      </c>
      <c r="T11">
        <v>0.59692000000000001</v>
      </c>
      <c r="U11">
        <v>0.74341999999999997</v>
      </c>
    </row>
    <row r="12" spans="1:21" x14ac:dyDescent="0.3">
      <c r="A12" s="3">
        <v>250</v>
      </c>
      <c r="B12">
        <v>9.1860999999999998E-2</v>
      </c>
      <c r="C12">
        <v>0.80284</v>
      </c>
      <c r="D12">
        <v>0.19803999999999999</v>
      </c>
      <c r="E12">
        <v>0.31905</v>
      </c>
      <c r="F12">
        <v>0.60072999999999999</v>
      </c>
      <c r="G12">
        <v>4.0664999999999996</v>
      </c>
      <c r="H12">
        <v>7.7751000000000001</v>
      </c>
      <c r="I12">
        <v>0.70037000000000005</v>
      </c>
      <c r="J12">
        <v>0.83533000000000002</v>
      </c>
      <c r="L12" s="3">
        <v>250</v>
      </c>
      <c r="M12">
        <v>0.10981</v>
      </c>
      <c r="N12">
        <v>0.32585999999999998</v>
      </c>
      <c r="O12">
        <v>0.19946</v>
      </c>
      <c r="P12" t="s">
        <v>14</v>
      </c>
      <c r="Q12">
        <v>0.59838000000000002</v>
      </c>
      <c r="R12">
        <v>4.3205999999999998</v>
      </c>
      <c r="S12">
        <v>7.8304999999999998</v>
      </c>
      <c r="T12">
        <v>0.71487000000000001</v>
      </c>
      <c r="U12">
        <v>0.83843000000000001</v>
      </c>
    </row>
    <row r="13" spans="1:21" x14ac:dyDescent="0.3">
      <c r="A13" s="3">
        <v>315</v>
      </c>
      <c r="B13">
        <v>9.3467999999999996E-2</v>
      </c>
      <c r="C13">
        <v>0.69396000000000002</v>
      </c>
      <c r="D13">
        <v>0.19023000000000001</v>
      </c>
      <c r="E13">
        <v>0.23845</v>
      </c>
      <c r="F13">
        <v>0.56557000000000002</v>
      </c>
      <c r="G13">
        <v>3.5703</v>
      </c>
      <c r="H13">
        <v>7.7191000000000001</v>
      </c>
      <c r="I13">
        <v>0.68310999999999999</v>
      </c>
      <c r="J13">
        <v>0.83584999999999998</v>
      </c>
      <c r="L13" s="3">
        <v>315</v>
      </c>
      <c r="M13">
        <v>0.21809000000000001</v>
      </c>
      <c r="N13">
        <v>9.511E-2</v>
      </c>
      <c r="O13">
        <v>0.18839</v>
      </c>
      <c r="P13" t="s">
        <v>14</v>
      </c>
      <c r="Q13">
        <v>0.56516</v>
      </c>
      <c r="R13">
        <v>3.6724000000000001</v>
      </c>
      <c r="S13">
        <v>7.798</v>
      </c>
      <c r="T13">
        <v>0.68861000000000006</v>
      </c>
      <c r="U13">
        <v>0.84138000000000002</v>
      </c>
    </row>
    <row r="14" spans="1:21" x14ac:dyDescent="0.3">
      <c r="A14" s="3">
        <v>400</v>
      </c>
      <c r="B14">
        <v>8.6640999999999996E-2</v>
      </c>
      <c r="C14">
        <v>8.6552000000000004E-2</v>
      </c>
      <c r="D14">
        <v>0.18407000000000001</v>
      </c>
      <c r="E14">
        <v>0.27914</v>
      </c>
      <c r="F14">
        <v>0.57240000000000002</v>
      </c>
      <c r="G14">
        <v>4.8597000000000001</v>
      </c>
      <c r="H14">
        <v>8.9903999999999993</v>
      </c>
      <c r="I14">
        <v>0.73834</v>
      </c>
      <c r="J14">
        <v>0.87438000000000005</v>
      </c>
      <c r="L14" s="3">
        <v>400</v>
      </c>
      <c r="M14">
        <v>8.0472000000000002E-2</v>
      </c>
      <c r="N14">
        <v>8.3953E-2</v>
      </c>
      <c r="O14">
        <v>0.18071000000000001</v>
      </c>
      <c r="P14">
        <v>0.30886999999999998</v>
      </c>
      <c r="Q14">
        <v>0.54720999999999997</v>
      </c>
      <c r="R14">
        <v>5.0030000000000001</v>
      </c>
      <c r="S14">
        <v>9.1687999999999992</v>
      </c>
      <c r="T14">
        <v>0.74404000000000003</v>
      </c>
      <c r="U14">
        <v>0.88056999999999996</v>
      </c>
    </row>
    <row r="15" spans="1:21" x14ac:dyDescent="0.3">
      <c r="A15" s="3">
        <v>500</v>
      </c>
      <c r="B15">
        <v>9.8947999999999994E-2</v>
      </c>
      <c r="C15">
        <v>0.10186000000000001</v>
      </c>
      <c r="D15">
        <v>0.21708</v>
      </c>
      <c r="E15">
        <v>0.32368000000000002</v>
      </c>
      <c r="F15">
        <v>0.65963000000000005</v>
      </c>
      <c r="G15">
        <v>3.8107000000000002</v>
      </c>
      <c r="H15">
        <v>8.02</v>
      </c>
      <c r="I15">
        <v>0.69979000000000002</v>
      </c>
      <c r="J15">
        <v>0.85599999999999998</v>
      </c>
      <c r="L15" s="3">
        <v>500</v>
      </c>
      <c r="M15">
        <v>9.8570000000000005E-2</v>
      </c>
      <c r="N15">
        <v>0.10416</v>
      </c>
      <c r="O15">
        <v>0.20952999999999999</v>
      </c>
      <c r="P15">
        <v>0.31092999999999998</v>
      </c>
      <c r="Q15">
        <v>0.63541000000000003</v>
      </c>
      <c r="R15">
        <v>3.5324</v>
      </c>
      <c r="S15">
        <v>8.0481999999999996</v>
      </c>
      <c r="T15">
        <v>0.68569000000000002</v>
      </c>
      <c r="U15">
        <v>0.85575999999999997</v>
      </c>
    </row>
    <row r="16" spans="1:21" x14ac:dyDescent="0.3">
      <c r="A16" s="3">
        <v>630</v>
      </c>
      <c r="B16">
        <v>0.1056</v>
      </c>
      <c r="C16">
        <v>0.11210000000000001</v>
      </c>
      <c r="D16">
        <v>0.22753999999999999</v>
      </c>
      <c r="E16">
        <v>0.34727999999999998</v>
      </c>
      <c r="F16">
        <v>0.68761000000000005</v>
      </c>
      <c r="G16">
        <v>3.06</v>
      </c>
      <c r="H16">
        <v>6.7214</v>
      </c>
      <c r="I16">
        <v>0.66000999999999999</v>
      </c>
      <c r="J16">
        <v>0.81476999999999999</v>
      </c>
      <c r="L16" s="3">
        <v>630</v>
      </c>
      <c r="M16">
        <v>0.10712000000000001</v>
      </c>
      <c r="N16">
        <v>0.10707999999999999</v>
      </c>
      <c r="O16">
        <v>0.21948000000000001</v>
      </c>
      <c r="P16">
        <v>0.34654000000000001</v>
      </c>
      <c r="Q16">
        <v>0.66634000000000004</v>
      </c>
      <c r="R16">
        <v>3.3845000000000001</v>
      </c>
      <c r="S16">
        <v>6.9787999999999997</v>
      </c>
      <c r="T16">
        <v>0.67818000000000001</v>
      </c>
      <c r="U16">
        <v>0.82547000000000004</v>
      </c>
    </row>
    <row r="17" spans="1:21" x14ac:dyDescent="0.3">
      <c r="A17" s="3">
        <v>800</v>
      </c>
      <c r="B17">
        <v>0.1074</v>
      </c>
      <c r="C17">
        <v>0.11079</v>
      </c>
      <c r="D17">
        <v>0.22588</v>
      </c>
      <c r="E17">
        <v>0.36229</v>
      </c>
      <c r="F17">
        <v>0.69494999999999996</v>
      </c>
      <c r="G17">
        <v>2.9407000000000001</v>
      </c>
      <c r="H17">
        <v>6.6570999999999998</v>
      </c>
      <c r="I17">
        <v>0.65759999999999996</v>
      </c>
      <c r="J17">
        <v>0.81615000000000004</v>
      </c>
      <c r="L17" s="3">
        <v>800</v>
      </c>
      <c r="M17">
        <v>0.10695</v>
      </c>
      <c r="N17">
        <v>0.16919000000000001</v>
      </c>
      <c r="O17">
        <v>0.22364000000000001</v>
      </c>
      <c r="P17">
        <v>0.35502</v>
      </c>
      <c r="Q17">
        <v>0.70296000000000003</v>
      </c>
      <c r="R17">
        <v>3.1074000000000002</v>
      </c>
      <c r="S17">
        <v>6.8108000000000004</v>
      </c>
      <c r="T17">
        <v>0.66617000000000004</v>
      </c>
      <c r="U17">
        <v>0.82198000000000004</v>
      </c>
    </row>
    <row r="18" spans="1:21" x14ac:dyDescent="0.3">
      <c r="A18" s="3">
        <v>1000</v>
      </c>
      <c r="B18">
        <v>0.11230999999999999</v>
      </c>
      <c r="C18">
        <v>0.11393</v>
      </c>
      <c r="D18">
        <v>0.22914999999999999</v>
      </c>
      <c r="E18">
        <v>0.35460000000000003</v>
      </c>
      <c r="F18">
        <v>0.70048999999999995</v>
      </c>
      <c r="G18">
        <v>2.6537999999999999</v>
      </c>
      <c r="H18">
        <v>6.3323</v>
      </c>
      <c r="I18">
        <v>0.6452</v>
      </c>
      <c r="J18">
        <v>0.80776000000000003</v>
      </c>
      <c r="L18" s="3">
        <v>1000</v>
      </c>
      <c r="M18">
        <v>0.10903</v>
      </c>
      <c r="N18">
        <v>0.11003</v>
      </c>
      <c r="O18">
        <v>0.22588</v>
      </c>
      <c r="P18">
        <v>0.35160999999999998</v>
      </c>
      <c r="Q18">
        <v>0.70365</v>
      </c>
      <c r="R18">
        <v>2.7498999999999998</v>
      </c>
      <c r="S18">
        <v>6.5960000000000001</v>
      </c>
      <c r="T18">
        <v>0.6502</v>
      </c>
      <c r="U18">
        <v>0.81794</v>
      </c>
    </row>
    <row r="19" spans="1:21" x14ac:dyDescent="0.3">
      <c r="A19" s="3">
        <v>1250</v>
      </c>
      <c r="B19">
        <v>0.11129</v>
      </c>
      <c r="C19">
        <v>0.11701</v>
      </c>
      <c r="D19">
        <v>0.23549</v>
      </c>
      <c r="E19">
        <v>0.36836999999999998</v>
      </c>
      <c r="F19">
        <v>0.72563999999999995</v>
      </c>
      <c r="G19">
        <v>2.9093</v>
      </c>
      <c r="H19">
        <v>6.4553000000000003</v>
      </c>
      <c r="I19">
        <v>0.65846000000000005</v>
      </c>
      <c r="J19">
        <v>0.81172999999999995</v>
      </c>
      <c r="L19" s="3">
        <v>1250</v>
      </c>
      <c r="M19">
        <v>0.11015</v>
      </c>
      <c r="N19">
        <v>0.11402</v>
      </c>
      <c r="O19">
        <v>0.23241999999999999</v>
      </c>
      <c r="P19">
        <v>0.36047000000000001</v>
      </c>
      <c r="Q19">
        <v>0.72660000000000002</v>
      </c>
      <c r="R19">
        <v>3.0703999999999998</v>
      </c>
      <c r="S19">
        <v>6.5507</v>
      </c>
      <c r="T19">
        <v>0.66718</v>
      </c>
      <c r="U19">
        <v>0.81545999999999996</v>
      </c>
    </row>
    <row r="20" spans="1:21" x14ac:dyDescent="0.3">
      <c r="A20" s="3">
        <v>1600</v>
      </c>
      <c r="B20">
        <v>0.11076</v>
      </c>
      <c r="C20">
        <v>0.11397</v>
      </c>
      <c r="D20">
        <v>0.23336999999999999</v>
      </c>
      <c r="E20">
        <v>0.36355999999999999</v>
      </c>
      <c r="F20">
        <v>0.73329</v>
      </c>
      <c r="G20">
        <v>2.5590000000000002</v>
      </c>
      <c r="H20">
        <v>6.3205999999999998</v>
      </c>
      <c r="I20">
        <v>0.63965000000000005</v>
      </c>
      <c r="J20">
        <v>0.80623</v>
      </c>
      <c r="L20" s="3">
        <v>1600</v>
      </c>
      <c r="M20">
        <v>0.11038000000000001</v>
      </c>
      <c r="N20">
        <v>0.11103</v>
      </c>
      <c r="O20">
        <v>0.23316999999999999</v>
      </c>
      <c r="P20">
        <v>0.36796000000000001</v>
      </c>
      <c r="Q20">
        <v>0.73129</v>
      </c>
      <c r="R20">
        <v>2.4777999999999998</v>
      </c>
      <c r="S20">
        <v>6.4265999999999996</v>
      </c>
      <c r="T20">
        <v>0.63595000000000002</v>
      </c>
      <c r="U20">
        <v>0.81045999999999996</v>
      </c>
    </row>
    <row r="21" spans="1:21" x14ac:dyDescent="0.3">
      <c r="A21" s="3">
        <v>2000</v>
      </c>
      <c r="B21">
        <v>0.11736000000000001</v>
      </c>
      <c r="C21">
        <v>0.11468</v>
      </c>
      <c r="D21">
        <v>0.24368000000000001</v>
      </c>
      <c r="E21">
        <v>0.38124999999999998</v>
      </c>
      <c r="F21">
        <v>0.75502000000000002</v>
      </c>
      <c r="G21">
        <v>2.2913000000000001</v>
      </c>
      <c r="H21">
        <v>5.8167</v>
      </c>
      <c r="I21">
        <v>0.62690999999999997</v>
      </c>
      <c r="J21">
        <v>0.78932999999999998</v>
      </c>
      <c r="L21" s="3">
        <v>2000</v>
      </c>
      <c r="M21">
        <v>0.11389000000000001</v>
      </c>
      <c r="N21">
        <v>0.11928999999999999</v>
      </c>
      <c r="O21">
        <v>0.23974999999999999</v>
      </c>
      <c r="P21">
        <v>0.38163999999999998</v>
      </c>
      <c r="Q21">
        <v>0.74914000000000003</v>
      </c>
      <c r="R21">
        <v>2.3694000000000002</v>
      </c>
      <c r="S21">
        <v>6.1</v>
      </c>
      <c r="T21">
        <v>0.63153000000000004</v>
      </c>
      <c r="U21">
        <v>0.80052000000000001</v>
      </c>
    </row>
    <row r="22" spans="1:21" x14ac:dyDescent="0.3">
      <c r="A22" s="3">
        <v>2500</v>
      </c>
      <c r="B22">
        <v>0.11643000000000001</v>
      </c>
      <c r="C22">
        <v>0.12178</v>
      </c>
      <c r="D22">
        <v>0.24399000000000001</v>
      </c>
      <c r="E22">
        <v>0.37524999999999997</v>
      </c>
      <c r="F22">
        <v>0.75551999999999997</v>
      </c>
      <c r="G22">
        <v>2.4180000000000001</v>
      </c>
      <c r="H22">
        <v>5.9695999999999998</v>
      </c>
      <c r="I22">
        <v>0.63360000000000005</v>
      </c>
      <c r="J22">
        <v>0.79586000000000001</v>
      </c>
      <c r="L22" s="3">
        <v>2500</v>
      </c>
      <c r="M22">
        <v>0.11425</v>
      </c>
      <c r="N22">
        <v>0.1195</v>
      </c>
      <c r="O22">
        <v>0.24639</v>
      </c>
      <c r="P22">
        <v>0.39354</v>
      </c>
      <c r="Q22">
        <v>0.77405000000000002</v>
      </c>
      <c r="R22">
        <v>2.3820000000000001</v>
      </c>
      <c r="S22">
        <v>5.9469000000000003</v>
      </c>
      <c r="T22">
        <v>0.63195000000000001</v>
      </c>
      <c r="U22">
        <v>0.79468000000000005</v>
      </c>
    </row>
    <row r="23" spans="1:21" x14ac:dyDescent="0.3">
      <c r="A23" s="3">
        <v>3150</v>
      </c>
      <c r="B23">
        <v>0.11698</v>
      </c>
      <c r="C23">
        <v>0.12064</v>
      </c>
      <c r="D23">
        <v>0.24981</v>
      </c>
      <c r="E23">
        <v>0.38020999999999999</v>
      </c>
      <c r="F23">
        <v>0.77654999999999996</v>
      </c>
      <c r="G23">
        <v>2.1318999999999999</v>
      </c>
      <c r="H23">
        <v>5.7407000000000004</v>
      </c>
      <c r="I23">
        <v>0.61873</v>
      </c>
      <c r="J23">
        <v>0.78696999999999995</v>
      </c>
      <c r="L23" s="3">
        <v>3150</v>
      </c>
      <c r="M23">
        <v>0.11813</v>
      </c>
      <c r="N23">
        <v>0.12095</v>
      </c>
      <c r="O23">
        <v>0.24833</v>
      </c>
      <c r="P23">
        <v>0.40554000000000001</v>
      </c>
      <c r="Q23">
        <v>0.78725000000000001</v>
      </c>
      <c r="R23">
        <v>2.2132000000000001</v>
      </c>
      <c r="S23">
        <v>5.7961</v>
      </c>
      <c r="T23">
        <v>0.62319999999999998</v>
      </c>
      <c r="U23">
        <v>0.78952</v>
      </c>
    </row>
    <row r="24" spans="1:21" x14ac:dyDescent="0.3">
      <c r="A24" s="3">
        <v>4000</v>
      </c>
      <c r="B24">
        <v>0.11430999999999999</v>
      </c>
      <c r="C24">
        <v>0.11632000000000001</v>
      </c>
      <c r="D24">
        <v>0.23555000000000001</v>
      </c>
      <c r="E24">
        <v>0.37208000000000002</v>
      </c>
      <c r="F24">
        <v>0.74243000000000003</v>
      </c>
      <c r="G24">
        <v>2.5823</v>
      </c>
      <c r="H24">
        <v>6.1158999999999999</v>
      </c>
      <c r="I24">
        <v>0.64309000000000005</v>
      </c>
      <c r="J24">
        <v>0.80154000000000003</v>
      </c>
      <c r="L24" s="3">
        <v>4000</v>
      </c>
      <c r="M24">
        <v>0.11526</v>
      </c>
      <c r="N24">
        <v>0.11796</v>
      </c>
      <c r="O24">
        <v>0.24521999999999999</v>
      </c>
      <c r="P24">
        <v>0.39715</v>
      </c>
      <c r="Q24">
        <v>0.76163000000000003</v>
      </c>
      <c r="R24">
        <v>2.4662000000000002</v>
      </c>
      <c r="S24">
        <v>6.0716999999999999</v>
      </c>
      <c r="T24">
        <v>0.63649999999999995</v>
      </c>
      <c r="U24">
        <v>0.79991999999999996</v>
      </c>
    </row>
    <row r="25" spans="1:21" x14ac:dyDescent="0.3">
      <c r="A25" s="3">
        <v>5000</v>
      </c>
      <c r="B25">
        <v>0.10611</v>
      </c>
      <c r="C25">
        <v>0.11012</v>
      </c>
      <c r="D25">
        <v>0.22461999999999999</v>
      </c>
      <c r="E25">
        <v>0.34941</v>
      </c>
      <c r="F25">
        <v>0.69832000000000005</v>
      </c>
      <c r="G25">
        <v>2.9456000000000002</v>
      </c>
      <c r="H25">
        <v>6.79</v>
      </c>
      <c r="I25">
        <v>0.66225000000000001</v>
      </c>
      <c r="J25">
        <v>0.82538</v>
      </c>
      <c r="L25" s="3">
        <v>5000</v>
      </c>
      <c r="M25">
        <v>0.10834000000000001</v>
      </c>
      <c r="N25">
        <v>0.10996</v>
      </c>
      <c r="O25">
        <v>0.2306</v>
      </c>
      <c r="P25">
        <v>0.40472999999999998</v>
      </c>
      <c r="Q25">
        <v>0.71660000000000001</v>
      </c>
      <c r="R25">
        <v>2.9426999999999999</v>
      </c>
      <c r="S25">
        <v>6.5884999999999998</v>
      </c>
      <c r="T25">
        <v>0.66178999999999999</v>
      </c>
      <c r="U25">
        <v>0.81840000000000002</v>
      </c>
    </row>
    <row r="26" spans="1:21" x14ac:dyDescent="0.3">
      <c r="A26" s="3">
        <v>6300</v>
      </c>
      <c r="B26">
        <v>9.9680000000000005E-2</v>
      </c>
      <c r="C26">
        <v>0.10168000000000001</v>
      </c>
      <c r="D26">
        <v>0.21037</v>
      </c>
      <c r="E26">
        <v>0.33483000000000002</v>
      </c>
      <c r="F26">
        <v>0.66239999999999999</v>
      </c>
      <c r="G26">
        <v>3.3492999999999999</v>
      </c>
      <c r="H26">
        <v>7.2964000000000002</v>
      </c>
      <c r="I26">
        <v>0.68289</v>
      </c>
      <c r="J26">
        <v>0.84196000000000004</v>
      </c>
      <c r="L26" s="3">
        <v>6300</v>
      </c>
      <c r="M26">
        <v>0.10205</v>
      </c>
      <c r="N26">
        <v>0.10262</v>
      </c>
      <c r="O26">
        <v>0.21695</v>
      </c>
      <c r="P26" t="s">
        <v>14</v>
      </c>
      <c r="Q26">
        <v>0.65085999999999999</v>
      </c>
      <c r="R26">
        <v>3.2509999999999999</v>
      </c>
      <c r="S26">
        <v>7.1589</v>
      </c>
      <c r="T26">
        <v>0.67737999999999998</v>
      </c>
      <c r="U26">
        <v>0.83704999999999996</v>
      </c>
    </row>
    <row r="27" spans="1:21" x14ac:dyDescent="0.3">
      <c r="A27" s="3">
        <v>8000</v>
      </c>
      <c r="B27">
        <v>8.4385000000000002E-2</v>
      </c>
      <c r="C27">
        <v>8.4294999999999995E-2</v>
      </c>
      <c r="D27">
        <v>0.17438999999999999</v>
      </c>
      <c r="E27">
        <v>0.27837000000000001</v>
      </c>
      <c r="F27">
        <v>0.55179</v>
      </c>
      <c r="G27">
        <v>4.8155999999999999</v>
      </c>
      <c r="H27">
        <v>9.1180000000000003</v>
      </c>
      <c r="I27">
        <v>0.75080999999999998</v>
      </c>
      <c r="J27">
        <v>0.88978000000000002</v>
      </c>
      <c r="L27" s="3">
        <v>8000</v>
      </c>
      <c r="M27">
        <v>8.2738999999999993E-2</v>
      </c>
      <c r="N27">
        <v>8.6308999999999997E-2</v>
      </c>
      <c r="O27">
        <v>0.18545</v>
      </c>
      <c r="P27" t="s">
        <v>14</v>
      </c>
      <c r="Q27">
        <v>0.55635999999999997</v>
      </c>
      <c r="R27">
        <v>4.8971999999999998</v>
      </c>
      <c r="S27">
        <v>9.1105</v>
      </c>
      <c r="T27">
        <v>0.75324999999999998</v>
      </c>
      <c r="U27">
        <v>0.88907999999999998</v>
      </c>
    </row>
    <row r="28" spans="1:21" x14ac:dyDescent="0.3">
      <c r="A28" s="3">
        <v>10000</v>
      </c>
      <c r="B28">
        <v>7.0559999999999998E-2</v>
      </c>
      <c r="C28">
        <v>7.2550000000000003E-2</v>
      </c>
      <c r="D28">
        <v>0.15376999999999999</v>
      </c>
      <c r="E28">
        <v>0.22972999999999999</v>
      </c>
      <c r="F28">
        <v>0.46551999999999999</v>
      </c>
      <c r="G28">
        <v>6.1830999999999996</v>
      </c>
      <c r="H28">
        <v>10.956</v>
      </c>
      <c r="I28">
        <v>0.80432000000000003</v>
      </c>
      <c r="J28">
        <v>0.92401</v>
      </c>
      <c r="L28" s="3">
        <v>10000</v>
      </c>
      <c r="M28">
        <v>7.1393999999999999E-2</v>
      </c>
      <c r="N28">
        <v>7.4458999999999997E-2</v>
      </c>
      <c r="O28">
        <v>0.16200000000000001</v>
      </c>
      <c r="P28" t="s">
        <v>14</v>
      </c>
      <c r="Q28">
        <v>0.48599999999999999</v>
      </c>
      <c r="R28">
        <v>6.1661000000000001</v>
      </c>
      <c r="S28">
        <v>10.862</v>
      </c>
      <c r="T28">
        <v>0.80386999999999997</v>
      </c>
      <c r="U28">
        <v>0.92278000000000004</v>
      </c>
    </row>
    <row r="29" spans="1:21" x14ac:dyDescent="0.3">
      <c r="A29" s="3">
        <v>12500</v>
      </c>
      <c r="B29">
        <v>0.17977000000000001</v>
      </c>
      <c r="C29">
        <v>0.21346000000000001</v>
      </c>
      <c r="D29">
        <v>0.13431999999999999</v>
      </c>
      <c r="E29" t="s">
        <v>14</v>
      </c>
      <c r="F29">
        <v>0.40295999999999998</v>
      </c>
      <c r="G29">
        <v>6.8390000000000004</v>
      </c>
      <c r="H29">
        <v>11.215999999999999</v>
      </c>
      <c r="I29">
        <v>0.81706000000000001</v>
      </c>
      <c r="J29">
        <v>0.90774999999999995</v>
      </c>
      <c r="L29" s="3">
        <v>12500</v>
      </c>
      <c r="M29">
        <v>6.1221999999999999E-2</v>
      </c>
      <c r="N29">
        <v>0.11523</v>
      </c>
      <c r="O29">
        <v>0.13894000000000001</v>
      </c>
      <c r="P29" t="s">
        <v>14</v>
      </c>
      <c r="Q29">
        <v>0.41682999999999998</v>
      </c>
      <c r="R29">
        <v>7.5382999999999996</v>
      </c>
      <c r="S29">
        <v>12.609</v>
      </c>
      <c r="T29">
        <v>0.84738000000000002</v>
      </c>
      <c r="U29">
        <v>0.94486000000000003</v>
      </c>
    </row>
    <row r="30" spans="1:21" x14ac:dyDescent="0.3">
      <c r="A30" s="3">
        <v>16000</v>
      </c>
      <c r="B30">
        <v>0.67444999999999999</v>
      </c>
      <c r="C30">
        <v>2.75</v>
      </c>
      <c r="D30" t="s">
        <v>14</v>
      </c>
      <c r="E30" t="s">
        <v>14</v>
      </c>
      <c r="F30" t="s">
        <v>14</v>
      </c>
      <c r="G30">
        <v>4.5121000000000002</v>
      </c>
      <c r="H30">
        <v>6.8468999999999998</v>
      </c>
      <c r="I30">
        <v>0.70721999999999996</v>
      </c>
      <c r="J30">
        <v>0.76373000000000002</v>
      </c>
      <c r="L30" s="3">
        <v>16000</v>
      </c>
      <c r="M30">
        <v>5.4995000000000002E-2</v>
      </c>
      <c r="N30">
        <v>5.8028999999999997E-2</v>
      </c>
      <c r="O30">
        <v>0.12495000000000001</v>
      </c>
      <c r="P30" t="s">
        <v>14</v>
      </c>
      <c r="Q30">
        <v>0.37485000000000002</v>
      </c>
      <c r="R30">
        <v>8.6859999999999999</v>
      </c>
      <c r="S30">
        <v>13.467000000000001</v>
      </c>
      <c r="T30">
        <v>0.87470000000000003</v>
      </c>
      <c r="U30">
        <v>0.94881000000000004</v>
      </c>
    </row>
    <row r="31" spans="1:21" x14ac:dyDescent="0.3">
      <c r="A31" s="3">
        <v>20000</v>
      </c>
      <c r="B31">
        <v>3.7054999999999998</v>
      </c>
      <c r="C31">
        <v>6.3529</v>
      </c>
      <c r="D31" t="s">
        <v>14</v>
      </c>
      <c r="E31" t="s">
        <v>14</v>
      </c>
      <c r="F31" t="s">
        <v>14</v>
      </c>
      <c r="G31">
        <v>-0.33484999999999998</v>
      </c>
      <c r="H31">
        <v>0.69760999999999995</v>
      </c>
      <c r="I31">
        <v>0.50410999999999995</v>
      </c>
      <c r="J31">
        <v>0.53998999999999997</v>
      </c>
      <c r="L31" s="3">
        <v>20000</v>
      </c>
      <c r="M31">
        <v>5.4368E-2</v>
      </c>
      <c r="N31">
        <v>0.42313000000000001</v>
      </c>
      <c r="O31" t="s">
        <v>14</v>
      </c>
      <c r="P31" t="s">
        <v>14</v>
      </c>
      <c r="Q31" t="s">
        <v>14</v>
      </c>
      <c r="R31">
        <v>8.3421000000000003</v>
      </c>
      <c r="S31">
        <v>12.202999999999999</v>
      </c>
      <c r="T31">
        <v>0.85407</v>
      </c>
      <c r="U31">
        <v>0.92083999999999999</v>
      </c>
    </row>
    <row r="32" spans="1:21" x14ac:dyDescent="0.3">
      <c r="A32" t="s">
        <v>16</v>
      </c>
      <c r="B32">
        <f>SUM(B9:B29)/21</f>
        <v>0.12410871428571428</v>
      </c>
      <c r="C32">
        <f>SUM(C12:C28)/17</f>
        <v>0.18206335294117648</v>
      </c>
      <c r="D32">
        <f>SUM(D12:D29)/18</f>
        <v>0.21174166666666666</v>
      </c>
      <c r="E32">
        <f>SUM(E12:E28)/17</f>
        <v>0.33279705882352945</v>
      </c>
      <c r="F32">
        <f>SUM(F10:F29)/20</f>
        <v>0.65634350000000019</v>
      </c>
      <c r="G32">
        <f>SUM(G10:G28)/19</f>
        <v>3.2498842105263157</v>
      </c>
      <c r="H32">
        <f>SUM(H12:H28)/17</f>
        <v>7.2232117647058836</v>
      </c>
      <c r="I32">
        <f t="shared" ref="C32:J32" si="0">SUM(I12:I28)/17</f>
        <v>0.67677235294117655</v>
      </c>
      <c r="J32">
        <f t="shared" si="0"/>
        <v>0.83017823529411772</v>
      </c>
      <c r="L32" t="s">
        <v>16</v>
      </c>
      <c r="M32">
        <f>SUM(M12:M28)/17</f>
        <v>0.11038970588235293</v>
      </c>
      <c r="N32">
        <f t="shared" ref="N32:U32" si="1">SUM(N12:N28)/17</f>
        <v>0.12185182352941176</v>
      </c>
      <c r="O32">
        <f t="shared" si="1"/>
        <v>0.21690411764705886</v>
      </c>
      <c r="P32">
        <f>SUM(P14:P25)/12</f>
        <v>0.36533333333333329</v>
      </c>
      <c r="Q32">
        <f>SUM(Q10:Q30)/21</f>
        <v>0.646447142857143</v>
      </c>
      <c r="R32">
        <f t="shared" si="1"/>
        <v>3.4121294117647056</v>
      </c>
      <c r="S32">
        <f t="shared" si="1"/>
        <v>7.2848823529411755</v>
      </c>
      <c r="T32">
        <f t="shared" si="1"/>
        <v>0.67943294117647057</v>
      </c>
      <c r="U32">
        <f t="shared" si="1"/>
        <v>0.83290588235294105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Jørgensen</dc:creator>
  <cp:lastModifiedBy>Christian Jørgensen</cp:lastModifiedBy>
  <dcterms:created xsi:type="dcterms:W3CDTF">2026-03-21T09:35:18Z</dcterms:created>
  <dcterms:modified xsi:type="dcterms:W3CDTF">2026-03-21T09:44:46Z</dcterms:modified>
</cp:coreProperties>
</file>