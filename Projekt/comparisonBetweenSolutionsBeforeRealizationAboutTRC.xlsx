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 Lykke\Documents\Skole\Aalborg Universitet\CEAIVS8\Projekt\"/>
    </mc:Choice>
  </mc:AlternateContent>
  <xr:revisionPtr revIDLastSave="0" documentId="8_{98B8C4DE-B324-4EEE-8BF3-CCE6E4CDE0B7}" xr6:coauthVersionLast="47" xr6:coauthVersionMax="47" xr10:uidLastSave="{00000000-0000-0000-0000-000000000000}"/>
  <bookViews>
    <workbookView xWindow="-26028" yWindow="-33480" windowWidth="26136" windowHeight="45696" xr2:uid="{2DB39563-EA54-4CA3-B5B6-3088642C5BB7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7" i="1" l="1"/>
  <c r="F117" i="1"/>
  <c r="G117" i="1"/>
  <c r="H117" i="1"/>
  <c r="I117" i="1"/>
  <c r="J117" i="1"/>
  <c r="AZ232" i="1"/>
  <c r="AY232" i="1"/>
  <c r="AZ231" i="1"/>
  <c r="AY231" i="1"/>
  <c r="AZ230" i="1"/>
  <c r="AY230" i="1"/>
  <c r="AZ229" i="1"/>
  <c r="AY229" i="1"/>
  <c r="AZ228" i="1"/>
  <c r="AY228" i="1"/>
  <c r="AZ227" i="1"/>
  <c r="AY227" i="1"/>
  <c r="AZ226" i="1"/>
  <c r="AY226" i="1"/>
  <c r="AZ225" i="1"/>
  <c r="AY225" i="1"/>
  <c r="AZ224" i="1"/>
  <c r="AY224" i="1"/>
  <c r="AZ223" i="1"/>
  <c r="AY223" i="1"/>
  <c r="AZ222" i="1"/>
  <c r="AY222" i="1"/>
  <c r="AZ221" i="1"/>
  <c r="AY221" i="1"/>
  <c r="AZ220" i="1"/>
  <c r="AY220" i="1"/>
  <c r="AZ219" i="1"/>
  <c r="AY219" i="1"/>
  <c r="AZ218" i="1"/>
  <c r="AY218" i="1"/>
  <c r="AZ217" i="1"/>
  <c r="AY217" i="1"/>
  <c r="AZ216" i="1"/>
  <c r="AY216" i="1"/>
  <c r="AZ215" i="1"/>
  <c r="AY215" i="1"/>
  <c r="AZ214" i="1"/>
  <c r="AY214" i="1"/>
  <c r="AZ213" i="1"/>
  <c r="AY213" i="1"/>
  <c r="AZ212" i="1"/>
  <c r="AY212" i="1"/>
  <c r="AZ211" i="1"/>
  <c r="AY211" i="1"/>
  <c r="AZ210" i="1"/>
  <c r="AY210" i="1"/>
  <c r="AZ209" i="1"/>
  <c r="AY209" i="1"/>
  <c r="AZ208" i="1"/>
  <c r="AY208" i="1"/>
  <c r="AZ207" i="1"/>
  <c r="AY207" i="1"/>
  <c r="AZ206" i="1"/>
  <c r="AZ233" i="1" s="1"/>
  <c r="AY206" i="1"/>
  <c r="AY233" i="1" s="1"/>
  <c r="AZ203" i="1"/>
  <c r="AY203" i="1"/>
  <c r="AZ202" i="1"/>
  <c r="AY202" i="1"/>
  <c r="AZ201" i="1"/>
  <c r="AY201" i="1"/>
  <c r="AZ200" i="1"/>
  <c r="AY200" i="1"/>
  <c r="AZ199" i="1"/>
  <c r="AY199" i="1"/>
  <c r="AZ198" i="1"/>
  <c r="AY198" i="1"/>
  <c r="AZ197" i="1"/>
  <c r="AY197" i="1"/>
  <c r="AZ196" i="1"/>
  <c r="AY196" i="1"/>
  <c r="AZ195" i="1"/>
  <c r="AY195" i="1"/>
  <c r="AZ194" i="1"/>
  <c r="AY194" i="1"/>
  <c r="AZ193" i="1"/>
  <c r="AY193" i="1"/>
  <c r="AZ192" i="1"/>
  <c r="AY192" i="1"/>
  <c r="AZ191" i="1"/>
  <c r="AY191" i="1"/>
  <c r="AZ190" i="1"/>
  <c r="AY190" i="1"/>
  <c r="AZ189" i="1"/>
  <c r="AY189" i="1"/>
  <c r="AZ188" i="1"/>
  <c r="AY188" i="1"/>
  <c r="AZ187" i="1"/>
  <c r="AY187" i="1"/>
  <c r="AZ186" i="1"/>
  <c r="AY186" i="1"/>
  <c r="AZ185" i="1"/>
  <c r="AY185" i="1"/>
  <c r="AZ184" i="1"/>
  <c r="AY184" i="1"/>
  <c r="AZ183" i="1"/>
  <c r="AY183" i="1"/>
  <c r="AZ182" i="1"/>
  <c r="AY182" i="1"/>
  <c r="AZ181" i="1"/>
  <c r="AY181" i="1"/>
  <c r="AZ180" i="1"/>
  <c r="AY180" i="1"/>
  <c r="AZ179" i="1"/>
  <c r="AY179" i="1"/>
  <c r="AZ178" i="1"/>
  <c r="AY178" i="1"/>
  <c r="AZ177" i="1"/>
  <c r="AY177" i="1"/>
  <c r="AY204" i="1" s="1"/>
  <c r="AZ174" i="1"/>
  <c r="AY174" i="1"/>
  <c r="AZ173" i="1"/>
  <c r="AY173" i="1"/>
  <c r="AZ172" i="1"/>
  <c r="AY172" i="1"/>
  <c r="AZ171" i="1"/>
  <c r="AY171" i="1"/>
  <c r="AZ170" i="1"/>
  <c r="AY170" i="1"/>
  <c r="AZ169" i="1"/>
  <c r="AY169" i="1"/>
  <c r="AZ168" i="1"/>
  <c r="AY168" i="1"/>
  <c r="AZ167" i="1"/>
  <c r="AY167" i="1"/>
  <c r="AZ166" i="1"/>
  <c r="AY166" i="1"/>
  <c r="AZ165" i="1"/>
  <c r="AY165" i="1"/>
  <c r="AZ164" i="1"/>
  <c r="AY164" i="1"/>
  <c r="AZ163" i="1"/>
  <c r="AY163" i="1"/>
  <c r="AZ162" i="1"/>
  <c r="AY162" i="1"/>
  <c r="AZ161" i="1"/>
  <c r="AY161" i="1"/>
  <c r="AZ160" i="1"/>
  <c r="AY160" i="1"/>
  <c r="AZ159" i="1"/>
  <c r="AY159" i="1"/>
  <c r="AZ158" i="1"/>
  <c r="AY158" i="1"/>
  <c r="AZ157" i="1"/>
  <c r="AY157" i="1"/>
  <c r="AZ156" i="1"/>
  <c r="AY156" i="1"/>
  <c r="AZ155" i="1"/>
  <c r="AY155" i="1"/>
  <c r="AZ154" i="1"/>
  <c r="AY154" i="1"/>
  <c r="AZ153" i="1"/>
  <c r="AY153" i="1"/>
  <c r="AZ152" i="1"/>
  <c r="AY152" i="1"/>
  <c r="AZ151" i="1"/>
  <c r="AY151" i="1"/>
  <c r="AZ150" i="1"/>
  <c r="AY150" i="1"/>
  <c r="AZ149" i="1"/>
  <c r="AY149" i="1"/>
  <c r="AZ148" i="1"/>
  <c r="AY148" i="1"/>
  <c r="AY175" i="1" s="1"/>
  <c r="AZ145" i="1"/>
  <c r="AY145" i="1"/>
  <c r="AZ144" i="1"/>
  <c r="AY144" i="1"/>
  <c r="AZ143" i="1"/>
  <c r="AY143" i="1"/>
  <c r="AZ142" i="1"/>
  <c r="AY142" i="1"/>
  <c r="AZ141" i="1"/>
  <c r="AY141" i="1"/>
  <c r="AZ140" i="1"/>
  <c r="AY140" i="1"/>
  <c r="AZ139" i="1"/>
  <c r="AY139" i="1"/>
  <c r="AZ138" i="1"/>
  <c r="AY138" i="1"/>
  <c r="AZ137" i="1"/>
  <c r="AY137" i="1"/>
  <c r="AZ136" i="1"/>
  <c r="AY136" i="1"/>
  <c r="AZ135" i="1"/>
  <c r="AY135" i="1"/>
  <c r="AZ134" i="1"/>
  <c r="AY134" i="1"/>
  <c r="AZ133" i="1"/>
  <c r="AY133" i="1"/>
  <c r="AZ132" i="1"/>
  <c r="AY132" i="1"/>
  <c r="AZ131" i="1"/>
  <c r="AY131" i="1"/>
  <c r="AZ130" i="1"/>
  <c r="AY130" i="1"/>
  <c r="AZ129" i="1"/>
  <c r="AY129" i="1"/>
  <c r="AZ128" i="1"/>
  <c r="AY128" i="1"/>
  <c r="AZ127" i="1"/>
  <c r="AY127" i="1"/>
  <c r="AZ126" i="1"/>
  <c r="AY126" i="1"/>
  <c r="AZ125" i="1"/>
  <c r="AY125" i="1"/>
  <c r="AZ124" i="1"/>
  <c r="AY124" i="1"/>
  <c r="AZ123" i="1"/>
  <c r="AY123" i="1"/>
  <c r="AZ122" i="1"/>
  <c r="AY122" i="1"/>
  <c r="AZ121" i="1"/>
  <c r="AY121" i="1"/>
  <c r="AZ120" i="1"/>
  <c r="AY120" i="1"/>
  <c r="AZ119" i="1"/>
  <c r="AY119" i="1"/>
  <c r="AY146" i="1" s="1"/>
  <c r="AZ116" i="1"/>
  <c r="AY116" i="1"/>
  <c r="AZ115" i="1"/>
  <c r="AY115" i="1"/>
  <c r="AZ114" i="1"/>
  <c r="AY114" i="1"/>
  <c r="AZ113" i="1"/>
  <c r="AY113" i="1"/>
  <c r="AZ112" i="1"/>
  <c r="AY112" i="1"/>
  <c r="AZ111" i="1"/>
  <c r="AY111" i="1"/>
  <c r="AZ110" i="1"/>
  <c r="AY110" i="1"/>
  <c r="AZ109" i="1"/>
  <c r="AY109" i="1"/>
  <c r="AZ108" i="1"/>
  <c r="AY108" i="1"/>
  <c r="AZ107" i="1"/>
  <c r="AY107" i="1"/>
  <c r="AZ106" i="1"/>
  <c r="AY106" i="1"/>
  <c r="AZ105" i="1"/>
  <c r="AY105" i="1"/>
  <c r="AZ104" i="1"/>
  <c r="AY104" i="1"/>
  <c r="AZ103" i="1"/>
  <c r="AY103" i="1"/>
  <c r="AZ102" i="1"/>
  <c r="AY102" i="1"/>
  <c r="AZ101" i="1"/>
  <c r="AY101" i="1"/>
  <c r="AZ100" i="1"/>
  <c r="AY100" i="1"/>
  <c r="AZ99" i="1"/>
  <c r="AY99" i="1"/>
  <c r="AZ98" i="1"/>
  <c r="AY98" i="1"/>
  <c r="AZ97" i="1"/>
  <c r="AY97" i="1"/>
  <c r="AZ96" i="1"/>
  <c r="AY96" i="1"/>
  <c r="AZ95" i="1"/>
  <c r="AY95" i="1"/>
  <c r="AZ94" i="1"/>
  <c r="AY94" i="1"/>
  <c r="AZ93" i="1"/>
  <c r="AY93" i="1"/>
  <c r="AZ92" i="1"/>
  <c r="AY92" i="1"/>
  <c r="AZ91" i="1"/>
  <c r="AY91" i="1"/>
  <c r="AZ90" i="1"/>
  <c r="AY90" i="1"/>
  <c r="AY117" i="1" s="1"/>
  <c r="AZ87" i="1"/>
  <c r="AY87" i="1"/>
  <c r="AZ86" i="1"/>
  <c r="AY86" i="1"/>
  <c r="AZ85" i="1"/>
  <c r="AY85" i="1"/>
  <c r="AZ84" i="1"/>
  <c r="AY84" i="1"/>
  <c r="AZ83" i="1"/>
  <c r="AY83" i="1"/>
  <c r="AZ82" i="1"/>
  <c r="AY82" i="1"/>
  <c r="AZ81" i="1"/>
  <c r="AY81" i="1"/>
  <c r="AZ80" i="1"/>
  <c r="AY80" i="1"/>
  <c r="AZ79" i="1"/>
  <c r="AY79" i="1"/>
  <c r="AZ78" i="1"/>
  <c r="AY78" i="1"/>
  <c r="AZ77" i="1"/>
  <c r="AY77" i="1"/>
  <c r="AZ76" i="1"/>
  <c r="AY76" i="1"/>
  <c r="AZ75" i="1"/>
  <c r="AY75" i="1"/>
  <c r="AZ74" i="1"/>
  <c r="AY74" i="1"/>
  <c r="AZ73" i="1"/>
  <c r="AY73" i="1"/>
  <c r="AZ72" i="1"/>
  <c r="AY72" i="1"/>
  <c r="AZ71" i="1"/>
  <c r="AY71" i="1"/>
  <c r="AZ70" i="1"/>
  <c r="AY70" i="1"/>
  <c r="AZ69" i="1"/>
  <c r="AY69" i="1"/>
  <c r="AZ68" i="1"/>
  <c r="AY68" i="1"/>
  <c r="AZ67" i="1"/>
  <c r="AY67" i="1"/>
  <c r="AZ66" i="1"/>
  <c r="AY66" i="1"/>
  <c r="AZ65" i="1"/>
  <c r="AY65" i="1"/>
  <c r="AZ64" i="1"/>
  <c r="AY64" i="1"/>
  <c r="AZ63" i="1"/>
  <c r="AY63" i="1"/>
  <c r="AZ62" i="1"/>
  <c r="AY62" i="1"/>
  <c r="AZ61" i="1"/>
  <c r="AZ88" i="1" s="1"/>
  <c r="AY61" i="1"/>
  <c r="AY88" i="1" s="1"/>
  <c r="AZ58" i="1"/>
  <c r="AY58" i="1"/>
  <c r="AZ57" i="1"/>
  <c r="AY57" i="1"/>
  <c r="AZ56" i="1"/>
  <c r="AY56" i="1"/>
  <c r="AZ55" i="1"/>
  <c r="AY55" i="1"/>
  <c r="AZ54" i="1"/>
  <c r="AY54" i="1"/>
  <c r="AZ53" i="1"/>
  <c r="AY53" i="1"/>
  <c r="AZ52" i="1"/>
  <c r="AY52" i="1"/>
  <c r="AZ51" i="1"/>
  <c r="AY51" i="1"/>
  <c r="AZ50" i="1"/>
  <c r="AY50" i="1"/>
  <c r="AZ49" i="1"/>
  <c r="AY49" i="1"/>
  <c r="AZ48" i="1"/>
  <c r="AY48" i="1"/>
  <c r="AZ47" i="1"/>
  <c r="AY47" i="1"/>
  <c r="AZ46" i="1"/>
  <c r="AY46" i="1"/>
  <c r="AZ45" i="1"/>
  <c r="AY45" i="1"/>
  <c r="AZ44" i="1"/>
  <c r="AY44" i="1"/>
  <c r="AZ43" i="1"/>
  <c r="AY43" i="1"/>
  <c r="AZ42" i="1"/>
  <c r="AY42" i="1"/>
  <c r="AZ41" i="1"/>
  <c r="AY41" i="1"/>
  <c r="AZ40" i="1"/>
  <c r="AY40" i="1"/>
  <c r="AZ39" i="1"/>
  <c r="AY39" i="1"/>
  <c r="AZ38" i="1"/>
  <c r="AY38" i="1"/>
  <c r="AZ37" i="1"/>
  <c r="AY37" i="1"/>
  <c r="AZ36" i="1"/>
  <c r="AY36" i="1"/>
  <c r="AZ35" i="1"/>
  <c r="AY35" i="1"/>
  <c r="AZ34" i="1"/>
  <c r="AY34" i="1"/>
  <c r="AZ33" i="1"/>
  <c r="AY33" i="1"/>
  <c r="AZ32" i="1"/>
  <c r="AY32" i="1"/>
  <c r="AY59" i="1" s="1"/>
  <c r="AZ29" i="1"/>
  <c r="AY29" i="1"/>
  <c r="AZ28" i="1"/>
  <c r="AY28" i="1"/>
  <c r="AZ27" i="1"/>
  <c r="AY27" i="1"/>
  <c r="AZ26" i="1"/>
  <c r="AY26" i="1"/>
  <c r="AZ25" i="1"/>
  <c r="AY25" i="1"/>
  <c r="AZ24" i="1"/>
  <c r="AY24" i="1"/>
  <c r="AZ23" i="1"/>
  <c r="AY23" i="1"/>
  <c r="AZ22" i="1"/>
  <c r="AY22" i="1"/>
  <c r="AZ21" i="1"/>
  <c r="AY21" i="1"/>
  <c r="AZ20" i="1"/>
  <c r="AY20" i="1"/>
  <c r="AZ19" i="1"/>
  <c r="AY19" i="1"/>
  <c r="AZ18" i="1"/>
  <c r="AY18" i="1"/>
  <c r="AZ17" i="1"/>
  <c r="AY17" i="1"/>
  <c r="AZ16" i="1"/>
  <c r="AY16" i="1"/>
  <c r="AZ15" i="1"/>
  <c r="AY15" i="1"/>
  <c r="AZ14" i="1"/>
  <c r="AY14" i="1"/>
  <c r="AZ13" i="1"/>
  <c r="AY13" i="1"/>
  <c r="AZ12" i="1"/>
  <c r="AY12" i="1"/>
  <c r="AZ11" i="1"/>
  <c r="AY11" i="1"/>
  <c r="AZ10" i="1"/>
  <c r="AY10" i="1"/>
  <c r="AZ9" i="1"/>
  <c r="AY9" i="1"/>
  <c r="AZ8" i="1"/>
  <c r="AY8" i="1"/>
  <c r="AZ7" i="1"/>
  <c r="AY7" i="1"/>
  <c r="AZ6" i="1"/>
  <c r="AY6" i="1"/>
  <c r="AZ5" i="1"/>
  <c r="AY5" i="1"/>
  <c r="AZ4" i="1"/>
  <c r="AY4" i="1"/>
  <c r="AZ3" i="1"/>
  <c r="AY3" i="1"/>
  <c r="AY30" i="1" s="1"/>
  <c r="AP232" i="1"/>
  <c r="AO232" i="1"/>
  <c r="AP231" i="1"/>
  <c r="AO231" i="1"/>
  <c r="AP230" i="1"/>
  <c r="AO230" i="1"/>
  <c r="AP229" i="1"/>
  <c r="AO229" i="1"/>
  <c r="AP228" i="1"/>
  <c r="AO228" i="1"/>
  <c r="AP227" i="1"/>
  <c r="AO227" i="1"/>
  <c r="AP226" i="1"/>
  <c r="AO226" i="1"/>
  <c r="AP225" i="1"/>
  <c r="AO225" i="1"/>
  <c r="AP224" i="1"/>
  <c r="AO224" i="1"/>
  <c r="AP223" i="1"/>
  <c r="AO223" i="1"/>
  <c r="AP222" i="1"/>
  <c r="AO222" i="1"/>
  <c r="AP221" i="1"/>
  <c r="AO221" i="1"/>
  <c r="AP220" i="1"/>
  <c r="AO220" i="1"/>
  <c r="AP219" i="1"/>
  <c r="AO219" i="1"/>
  <c r="AP218" i="1"/>
  <c r="AO218" i="1"/>
  <c r="AP217" i="1"/>
  <c r="AO217" i="1"/>
  <c r="AP216" i="1"/>
  <c r="AO216" i="1"/>
  <c r="AP215" i="1"/>
  <c r="AO215" i="1"/>
  <c r="AP214" i="1"/>
  <c r="AO214" i="1"/>
  <c r="AP213" i="1"/>
  <c r="AO213" i="1"/>
  <c r="AP212" i="1"/>
  <c r="AO212" i="1"/>
  <c r="AP211" i="1"/>
  <c r="AO211" i="1"/>
  <c r="AP210" i="1"/>
  <c r="AO210" i="1"/>
  <c r="AP209" i="1"/>
  <c r="AO209" i="1"/>
  <c r="AP208" i="1"/>
  <c r="AO208" i="1"/>
  <c r="AP207" i="1"/>
  <c r="AO207" i="1"/>
  <c r="AP206" i="1"/>
  <c r="AO206" i="1"/>
  <c r="AO233" i="1" s="1"/>
  <c r="AP203" i="1"/>
  <c r="AO203" i="1"/>
  <c r="AP202" i="1"/>
  <c r="AO202" i="1"/>
  <c r="AP201" i="1"/>
  <c r="AO201" i="1"/>
  <c r="AP200" i="1"/>
  <c r="AO200" i="1"/>
  <c r="AP199" i="1"/>
  <c r="AO199" i="1"/>
  <c r="AP198" i="1"/>
  <c r="AO198" i="1"/>
  <c r="AP197" i="1"/>
  <c r="AO197" i="1"/>
  <c r="AP196" i="1"/>
  <c r="AO196" i="1"/>
  <c r="AP195" i="1"/>
  <c r="AO195" i="1"/>
  <c r="AP194" i="1"/>
  <c r="AO194" i="1"/>
  <c r="AP193" i="1"/>
  <c r="AO193" i="1"/>
  <c r="AP192" i="1"/>
  <c r="AO192" i="1"/>
  <c r="AP191" i="1"/>
  <c r="AO191" i="1"/>
  <c r="AP190" i="1"/>
  <c r="AO190" i="1"/>
  <c r="AP189" i="1"/>
  <c r="AO189" i="1"/>
  <c r="AP188" i="1"/>
  <c r="AO188" i="1"/>
  <c r="AP187" i="1"/>
  <c r="AO187" i="1"/>
  <c r="AP186" i="1"/>
  <c r="AO186" i="1"/>
  <c r="AP185" i="1"/>
  <c r="AO185" i="1"/>
  <c r="AP184" i="1"/>
  <c r="AO184" i="1"/>
  <c r="AP183" i="1"/>
  <c r="AO183" i="1"/>
  <c r="AP182" i="1"/>
  <c r="AO182" i="1"/>
  <c r="AP181" i="1"/>
  <c r="AO181" i="1"/>
  <c r="AP180" i="1"/>
  <c r="AO180" i="1"/>
  <c r="AP179" i="1"/>
  <c r="AO179" i="1"/>
  <c r="AP178" i="1"/>
  <c r="AO178" i="1"/>
  <c r="AP177" i="1"/>
  <c r="AP204" i="1" s="1"/>
  <c r="AO177" i="1"/>
  <c r="AO204" i="1" s="1"/>
  <c r="AP174" i="1"/>
  <c r="AO174" i="1"/>
  <c r="AP173" i="1"/>
  <c r="AO173" i="1"/>
  <c r="AP172" i="1"/>
  <c r="AO172" i="1"/>
  <c r="AP171" i="1"/>
  <c r="AO171" i="1"/>
  <c r="AP170" i="1"/>
  <c r="AO170" i="1"/>
  <c r="AP169" i="1"/>
  <c r="AO169" i="1"/>
  <c r="AP168" i="1"/>
  <c r="AO168" i="1"/>
  <c r="AP167" i="1"/>
  <c r="AO167" i="1"/>
  <c r="AP166" i="1"/>
  <c r="AO166" i="1"/>
  <c r="AP165" i="1"/>
  <c r="AO165" i="1"/>
  <c r="AP164" i="1"/>
  <c r="AO164" i="1"/>
  <c r="AP163" i="1"/>
  <c r="AO163" i="1"/>
  <c r="AP162" i="1"/>
  <c r="AO162" i="1"/>
  <c r="AP161" i="1"/>
  <c r="AO161" i="1"/>
  <c r="AP160" i="1"/>
  <c r="AO160" i="1"/>
  <c r="AP159" i="1"/>
  <c r="AO159" i="1"/>
  <c r="AP158" i="1"/>
  <c r="AO158" i="1"/>
  <c r="AP157" i="1"/>
  <c r="AO157" i="1"/>
  <c r="AP156" i="1"/>
  <c r="AO156" i="1"/>
  <c r="AP155" i="1"/>
  <c r="AO155" i="1"/>
  <c r="AP154" i="1"/>
  <c r="AO154" i="1"/>
  <c r="AP153" i="1"/>
  <c r="AO153" i="1"/>
  <c r="AP152" i="1"/>
  <c r="AO152" i="1"/>
  <c r="AP151" i="1"/>
  <c r="AO151" i="1"/>
  <c r="AP150" i="1"/>
  <c r="AO150" i="1"/>
  <c r="AP149" i="1"/>
  <c r="AO149" i="1"/>
  <c r="AP148" i="1"/>
  <c r="AO148" i="1"/>
  <c r="AO175" i="1" s="1"/>
  <c r="AP145" i="1"/>
  <c r="AO145" i="1"/>
  <c r="AP144" i="1"/>
  <c r="AO144" i="1"/>
  <c r="AP143" i="1"/>
  <c r="AO143" i="1"/>
  <c r="AP142" i="1"/>
  <c r="AO142" i="1"/>
  <c r="AP141" i="1"/>
  <c r="AO141" i="1"/>
  <c r="AP140" i="1"/>
  <c r="AO140" i="1"/>
  <c r="AP139" i="1"/>
  <c r="AO139" i="1"/>
  <c r="AP138" i="1"/>
  <c r="AO138" i="1"/>
  <c r="AP137" i="1"/>
  <c r="AO137" i="1"/>
  <c r="AP136" i="1"/>
  <c r="AO136" i="1"/>
  <c r="AP135" i="1"/>
  <c r="AO135" i="1"/>
  <c r="AP134" i="1"/>
  <c r="AO134" i="1"/>
  <c r="AP133" i="1"/>
  <c r="AO133" i="1"/>
  <c r="AP132" i="1"/>
  <c r="AO132" i="1"/>
  <c r="AP131" i="1"/>
  <c r="AO131" i="1"/>
  <c r="AP130" i="1"/>
  <c r="AO130" i="1"/>
  <c r="AP129" i="1"/>
  <c r="AO129" i="1"/>
  <c r="AP128" i="1"/>
  <c r="AO128" i="1"/>
  <c r="AP127" i="1"/>
  <c r="AO127" i="1"/>
  <c r="AP126" i="1"/>
  <c r="AO126" i="1"/>
  <c r="AP125" i="1"/>
  <c r="AO125" i="1"/>
  <c r="AP124" i="1"/>
  <c r="AO124" i="1"/>
  <c r="AP123" i="1"/>
  <c r="AO123" i="1"/>
  <c r="AP122" i="1"/>
  <c r="AO122" i="1"/>
  <c r="AP121" i="1"/>
  <c r="AO121" i="1"/>
  <c r="AP120" i="1"/>
  <c r="AO120" i="1"/>
  <c r="AP119" i="1"/>
  <c r="AO119" i="1"/>
  <c r="AO146" i="1" s="1"/>
  <c r="AP116" i="1"/>
  <c r="AO116" i="1"/>
  <c r="AP115" i="1"/>
  <c r="AO115" i="1"/>
  <c r="AP114" i="1"/>
  <c r="AO114" i="1"/>
  <c r="AP113" i="1"/>
  <c r="AO113" i="1"/>
  <c r="AP112" i="1"/>
  <c r="AO112" i="1"/>
  <c r="AP111" i="1"/>
  <c r="AO111" i="1"/>
  <c r="AP110" i="1"/>
  <c r="AO110" i="1"/>
  <c r="AP109" i="1"/>
  <c r="AO109" i="1"/>
  <c r="AP108" i="1"/>
  <c r="AO108" i="1"/>
  <c r="AP107" i="1"/>
  <c r="AO107" i="1"/>
  <c r="AP106" i="1"/>
  <c r="AO106" i="1"/>
  <c r="AP105" i="1"/>
  <c r="AO105" i="1"/>
  <c r="AP104" i="1"/>
  <c r="AO104" i="1"/>
  <c r="AP103" i="1"/>
  <c r="AO103" i="1"/>
  <c r="AP102" i="1"/>
  <c r="AO102" i="1"/>
  <c r="AP101" i="1"/>
  <c r="AO101" i="1"/>
  <c r="AP100" i="1"/>
  <c r="AO100" i="1"/>
  <c r="AP99" i="1"/>
  <c r="AO99" i="1"/>
  <c r="AP98" i="1"/>
  <c r="AO98" i="1"/>
  <c r="AP97" i="1"/>
  <c r="AO97" i="1"/>
  <c r="AP96" i="1"/>
  <c r="AO96" i="1"/>
  <c r="AP95" i="1"/>
  <c r="AO95" i="1"/>
  <c r="AP94" i="1"/>
  <c r="AO94" i="1"/>
  <c r="AP93" i="1"/>
  <c r="AO93" i="1"/>
  <c r="AP92" i="1"/>
  <c r="AO92" i="1"/>
  <c r="AP91" i="1"/>
  <c r="AO91" i="1"/>
  <c r="AP90" i="1"/>
  <c r="AO90" i="1"/>
  <c r="AO117" i="1" s="1"/>
  <c r="AP87" i="1"/>
  <c r="AO87" i="1"/>
  <c r="AP86" i="1"/>
  <c r="AO86" i="1"/>
  <c r="AP85" i="1"/>
  <c r="AO85" i="1"/>
  <c r="AP84" i="1"/>
  <c r="AO84" i="1"/>
  <c r="AP83" i="1"/>
  <c r="AO83" i="1"/>
  <c r="AP82" i="1"/>
  <c r="AO82" i="1"/>
  <c r="AP81" i="1"/>
  <c r="AO81" i="1"/>
  <c r="AP80" i="1"/>
  <c r="AO80" i="1"/>
  <c r="AP79" i="1"/>
  <c r="AO79" i="1"/>
  <c r="AP78" i="1"/>
  <c r="AO78" i="1"/>
  <c r="AP77" i="1"/>
  <c r="AO77" i="1"/>
  <c r="AP76" i="1"/>
  <c r="AO76" i="1"/>
  <c r="AP75" i="1"/>
  <c r="AO75" i="1"/>
  <c r="AP74" i="1"/>
  <c r="AO74" i="1"/>
  <c r="AP73" i="1"/>
  <c r="AO73" i="1"/>
  <c r="AP72" i="1"/>
  <c r="AO72" i="1"/>
  <c r="AP71" i="1"/>
  <c r="AO71" i="1"/>
  <c r="AP70" i="1"/>
  <c r="AO70" i="1"/>
  <c r="AP69" i="1"/>
  <c r="AO69" i="1"/>
  <c r="AP68" i="1"/>
  <c r="AO68" i="1"/>
  <c r="AP67" i="1"/>
  <c r="AO67" i="1"/>
  <c r="AP66" i="1"/>
  <c r="AO66" i="1"/>
  <c r="AP65" i="1"/>
  <c r="AO65" i="1"/>
  <c r="AP64" i="1"/>
  <c r="AO64" i="1"/>
  <c r="AP63" i="1"/>
  <c r="AO63" i="1"/>
  <c r="AP62" i="1"/>
  <c r="AO62" i="1"/>
  <c r="AP61" i="1"/>
  <c r="AP88" i="1" s="1"/>
  <c r="AO61" i="1"/>
  <c r="AO88" i="1" s="1"/>
  <c r="AP58" i="1"/>
  <c r="AO58" i="1"/>
  <c r="AP57" i="1"/>
  <c r="AO57" i="1"/>
  <c r="AP56" i="1"/>
  <c r="AO56" i="1"/>
  <c r="AP55" i="1"/>
  <c r="AO55" i="1"/>
  <c r="AP54" i="1"/>
  <c r="AO54" i="1"/>
  <c r="AP53" i="1"/>
  <c r="AO53" i="1"/>
  <c r="AP52" i="1"/>
  <c r="AO52" i="1"/>
  <c r="AP51" i="1"/>
  <c r="AO51" i="1"/>
  <c r="AP50" i="1"/>
  <c r="AO50" i="1"/>
  <c r="AP49" i="1"/>
  <c r="AO49" i="1"/>
  <c r="AP48" i="1"/>
  <c r="AO48" i="1"/>
  <c r="AP47" i="1"/>
  <c r="AO47" i="1"/>
  <c r="AP46" i="1"/>
  <c r="AO46" i="1"/>
  <c r="AP45" i="1"/>
  <c r="AO45" i="1"/>
  <c r="AP44" i="1"/>
  <c r="AO44" i="1"/>
  <c r="AP43" i="1"/>
  <c r="AO43" i="1"/>
  <c r="AP42" i="1"/>
  <c r="AO42" i="1"/>
  <c r="AP41" i="1"/>
  <c r="AO41" i="1"/>
  <c r="AP40" i="1"/>
  <c r="AO40" i="1"/>
  <c r="AP39" i="1"/>
  <c r="AO39" i="1"/>
  <c r="AP38" i="1"/>
  <c r="AO38" i="1"/>
  <c r="AP37" i="1"/>
  <c r="AO37" i="1"/>
  <c r="AP36" i="1"/>
  <c r="AO36" i="1"/>
  <c r="AP35" i="1"/>
  <c r="AO35" i="1"/>
  <c r="AP34" i="1"/>
  <c r="AO34" i="1"/>
  <c r="AP33" i="1"/>
  <c r="AO33" i="1"/>
  <c r="AP32" i="1"/>
  <c r="AO32" i="1"/>
  <c r="AO59" i="1" s="1"/>
  <c r="AP29" i="1"/>
  <c r="AO29" i="1"/>
  <c r="AP28" i="1"/>
  <c r="AO28" i="1"/>
  <c r="AP27" i="1"/>
  <c r="AO27" i="1"/>
  <c r="AP26" i="1"/>
  <c r="AO26" i="1"/>
  <c r="AP25" i="1"/>
  <c r="AO25" i="1"/>
  <c r="AP24" i="1"/>
  <c r="AO24" i="1"/>
  <c r="AP23" i="1"/>
  <c r="AO23" i="1"/>
  <c r="AP22" i="1"/>
  <c r="AO22" i="1"/>
  <c r="AP21" i="1"/>
  <c r="AO21" i="1"/>
  <c r="AP20" i="1"/>
  <c r="AO20" i="1"/>
  <c r="AP19" i="1"/>
  <c r="AO19" i="1"/>
  <c r="AP18" i="1"/>
  <c r="AO18" i="1"/>
  <c r="AP17" i="1"/>
  <c r="AO17" i="1"/>
  <c r="AP16" i="1"/>
  <c r="AO16" i="1"/>
  <c r="AP15" i="1"/>
  <c r="AO15" i="1"/>
  <c r="AP14" i="1"/>
  <c r="AO14" i="1"/>
  <c r="AP13" i="1"/>
  <c r="AO13" i="1"/>
  <c r="AP12" i="1"/>
  <c r="AO12" i="1"/>
  <c r="AP11" i="1"/>
  <c r="AO11" i="1"/>
  <c r="AP10" i="1"/>
  <c r="AO10" i="1"/>
  <c r="AP9" i="1"/>
  <c r="AO9" i="1"/>
  <c r="AP8" i="1"/>
  <c r="AO8" i="1"/>
  <c r="AP7" i="1"/>
  <c r="AO7" i="1"/>
  <c r="AP6" i="1"/>
  <c r="AO6" i="1"/>
  <c r="AP5" i="1"/>
  <c r="AO5" i="1"/>
  <c r="AP4" i="1"/>
  <c r="AO4" i="1"/>
  <c r="AP3" i="1"/>
  <c r="AO3" i="1"/>
  <c r="AO30" i="1" s="1"/>
  <c r="U3" i="1"/>
  <c r="V3" i="1"/>
  <c r="V206" i="1"/>
  <c r="K233" i="1"/>
  <c r="J233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06" i="1"/>
  <c r="AX233" i="1"/>
  <c r="AW233" i="1"/>
  <c r="AV233" i="1"/>
  <c r="AU233" i="1"/>
  <c r="AT233" i="1"/>
  <c r="AS233" i="1"/>
  <c r="AR233" i="1"/>
  <c r="AN233" i="1"/>
  <c r="AM233" i="1"/>
  <c r="AL233" i="1"/>
  <c r="AK233" i="1"/>
  <c r="AJ233" i="1"/>
  <c r="AI233" i="1"/>
  <c r="AH233" i="1"/>
  <c r="AD233" i="1"/>
  <c r="AC233" i="1"/>
  <c r="AB233" i="1"/>
  <c r="AA233" i="1"/>
  <c r="Z233" i="1"/>
  <c r="Y233" i="1"/>
  <c r="X233" i="1"/>
  <c r="T233" i="1"/>
  <c r="S233" i="1"/>
  <c r="R233" i="1"/>
  <c r="Q233" i="1"/>
  <c r="P233" i="1"/>
  <c r="V233" i="1" s="1"/>
  <c r="O233" i="1"/>
  <c r="N233" i="1"/>
  <c r="L233" i="1"/>
  <c r="I233" i="1"/>
  <c r="H233" i="1"/>
  <c r="G233" i="1"/>
  <c r="F233" i="1"/>
  <c r="E233" i="1"/>
  <c r="D233" i="1"/>
  <c r="B233" i="1"/>
  <c r="AX204" i="1"/>
  <c r="AW204" i="1"/>
  <c r="AV204" i="1"/>
  <c r="AU204" i="1"/>
  <c r="AT204" i="1"/>
  <c r="AS204" i="1"/>
  <c r="AR204" i="1"/>
  <c r="AN204" i="1"/>
  <c r="AM204" i="1"/>
  <c r="AL204" i="1"/>
  <c r="AK204" i="1"/>
  <c r="AJ204" i="1"/>
  <c r="AI204" i="1"/>
  <c r="AH204" i="1"/>
  <c r="AE204" i="1"/>
  <c r="AD204" i="1"/>
  <c r="AC204" i="1"/>
  <c r="AB204" i="1"/>
  <c r="AA204" i="1"/>
  <c r="Z204" i="1"/>
  <c r="Y204" i="1"/>
  <c r="X204" i="1"/>
  <c r="V204" i="1"/>
  <c r="U204" i="1"/>
  <c r="T204" i="1"/>
  <c r="S204" i="1"/>
  <c r="R204" i="1"/>
  <c r="Q204" i="1"/>
  <c r="P204" i="1"/>
  <c r="O204" i="1"/>
  <c r="N204" i="1"/>
  <c r="L204" i="1"/>
  <c r="J204" i="1"/>
  <c r="I204" i="1"/>
  <c r="H204" i="1"/>
  <c r="G204" i="1"/>
  <c r="F204" i="1"/>
  <c r="E204" i="1"/>
  <c r="D204" i="1"/>
  <c r="B204" i="1"/>
  <c r="AX175" i="1"/>
  <c r="AW175" i="1"/>
  <c r="AV175" i="1"/>
  <c r="AU175" i="1"/>
  <c r="AT175" i="1"/>
  <c r="AS175" i="1"/>
  <c r="AR175" i="1"/>
  <c r="AN175" i="1"/>
  <c r="AM175" i="1"/>
  <c r="AL175" i="1"/>
  <c r="AK175" i="1"/>
  <c r="AJ175" i="1"/>
  <c r="AI175" i="1"/>
  <c r="AH175" i="1"/>
  <c r="AE175" i="1"/>
  <c r="AD175" i="1"/>
  <c r="AC175" i="1"/>
  <c r="AB175" i="1"/>
  <c r="AA175" i="1"/>
  <c r="Z175" i="1"/>
  <c r="Y175" i="1"/>
  <c r="X175" i="1"/>
  <c r="V175" i="1"/>
  <c r="U175" i="1"/>
  <c r="T175" i="1"/>
  <c r="S175" i="1"/>
  <c r="R175" i="1"/>
  <c r="Q175" i="1"/>
  <c r="P175" i="1"/>
  <c r="O175" i="1"/>
  <c r="N175" i="1"/>
  <c r="L175" i="1"/>
  <c r="J175" i="1"/>
  <c r="I175" i="1"/>
  <c r="H175" i="1"/>
  <c r="G175" i="1"/>
  <c r="F175" i="1"/>
  <c r="E175" i="1"/>
  <c r="D175" i="1"/>
  <c r="B175" i="1"/>
  <c r="AX146" i="1"/>
  <c r="AW146" i="1"/>
  <c r="AV146" i="1"/>
  <c r="AU146" i="1"/>
  <c r="AT146" i="1"/>
  <c r="AS146" i="1"/>
  <c r="AR146" i="1"/>
  <c r="AN146" i="1"/>
  <c r="AM146" i="1"/>
  <c r="AL146" i="1"/>
  <c r="AK146" i="1"/>
  <c r="AJ146" i="1"/>
  <c r="AI146" i="1"/>
  <c r="AH146" i="1"/>
  <c r="AE146" i="1"/>
  <c r="AD146" i="1"/>
  <c r="AC146" i="1"/>
  <c r="AB146" i="1"/>
  <c r="AA146" i="1"/>
  <c r="Z146" i="1"/>
  <c r="Y146" i="1"/>
  <c r="X146" i="1"/>
  <c r="V146" i="1"/>
  <c r="U146" i="1"/>
  <c r="T146" i="1"/>
  <c r="S146" i="1"/>
  <c r="R146" i="1"/>
  <c r="Q146" i="1"/>
  <c r="P146" i="1"/>
  <c r="O146" i="1"/>
  <c r="N146" i="1"/>
  <c r="L146" i="1"/>
  <c r="J146" i="1"/>
  <c r="I146" i="1"/>
  <c r="H146" i="1"/>
  <c r="G146" i="1"/>
  <c r="F146" i="1"/>
  <c r="E146" i="1"/>
  <c r="D146" i="1"/>
  <c r="B146" i="1"/>
  <c r="AX117" i="1"/>
  <c r="AW117" i="1"/>
  <c r="AV117" i="1"/>
  <c r="AU117" i="1"/>
  <c r="AT117" i="1"/>
  <c r="AS117" i="1"/>
  <c r="AR117" i="1"/>
  <c r="AN117" i="1"/>
  <c r="AM117" i="1"/>
  <c r="AL117" i="1"/>
  <c r="AK117" i="1"/>
  <c r="AJ117" i="1"/>
  <c r="AI117" i="1"/>
  <c r="AH117" i="1"/>
  <c r="AE117" i="1"/>
  <c r="AD117" i="1"/>
  <c r="AC117" i="1"/>
  <c r="AB117" i="1"/>
  <c r="AA117" i="1"/>
  <c r="Z117" i="1"/>
  <c r="Y117" i="1"/>
  <c r="X117" i="1"/>
  <c r="V117" i="1"/>
  <c r="U117" i="1"/>
  <c r="T117" i="1"/>
  <c r="S117" i="1"/>
  <c r="R117" i="1"/>
  <c r="Q117" i="1"/>
  <c r="P117" i="1"/>
  <c r="O117" i="1"/>
  <c r="N117" i="1"/>
  <c r="L117" i="1"/>
  <c r="D117" i="1"/>
  <c r="B117" i="1"/>
  <c r="AX88" i="1"/>
  <c r="AW88" i="1"/>
  <c r="AV88" i="1"/>
  <c r="AU88" i="1"/>
  <c r="AT88" i="1"/>
  <c r="AS88" i="1"/>
  <c r="AR88" i="1"/>
  <c r="AN88" i="1"/>
  <c r="AM88" i="1"/>
  <c r="AL88" i="1"/>
  <c r="AK88" i="1"/>
  <c r="AJ88" i="1"/>
  <c r="AI88" i="1"/>
  <c r="AH88" i="1"/>
  <c r="AE88" i="1"/>
  <c r="AD88" i="1"/>
  <c r="AC88" i="1"/>
  <c r="AB88" i="1"/>
  <c r="AA88" i="1"/>
  <c r="Z88" i="1"/>
  <c r="Y88" i="1"/>
  <c r="X88" i="1"/>
  <c r="V88" i="1"/>
  <c r="U88" i="1"/>
  <c r="T88" i="1"/>
  <c r="S88" i="1"/>
  <c r="R88" i="1"/>
  <c r="Q88" i="1"/>
  <c r="P88" i="1"/>
  <c r="O88" i="1"/>
  <c r="N88" i="1"/>
  <c r="L88" i="1"/>
  <c r="J88" i="1"/>
  <c r="I88" i="1"/>
  <c r="H88" i="1"/>
  <c r="G88" i="1"/>
  <c r="F88" i="1"/>
  <c r="E88" i="1"/>
  <c r="D88" i="1"/>
  <c r="B88" i="1"/>
  <c r="AX59" i="1"/>
  <c r="AW59" i="1"/>
  <c r="AV59" i="1"/>
  <c r="AU59" i="1"/>
  <c r="AT59" i="1"/>
  <c r="AS59" i="1"/>
  <c r="AR59" i="1"/>
  <c r="AN59" i="1"/>
  <c r="AM59" i="1"/>
  <c r="AL59" i="1"/>
  <c r="AK59" i="1"/>
  <c r="AJ59" i="1"/>
  <c r="AI59" i="1"/>
  <c r="AH59" i="1"/>
  <c r="AE59" i="1"/>
  <c r="AD59" i="1"/>
  <c r="AC59" i="1"/>
  <c r="AB59" i="1"/>
  <c r="AA59" i="1"/>
  <c r="Z59" i="1"/>
  <c r="Y59" i="1"/>
  <c r="X59" i="1"/>
  <c r="V59" i="1"/>
  <c r="U59" i="1"/>
  <c r="T59" i="1"/>
  <c r="S59" i="1"/>
  <c r="R59" i="1"/>
  <c r="Q59" i="1"/>
  <c r="P59" i="1"/>
  <c r="O59" i="1"/>
  <c r="N59" i="1"/>
  <c r="L59" i="1"/>
  <c r="J59" i="1"/>
  <c r="I59" i="1"/>
  <c r="H59" i="1"/>
  <c r="G59" i="1"/>
  <c r="F59" i="1"/>
  <c r="E59" i="1"/>
  <c r="D59" i="1"/>
  <c r="B59" i="1"/>
  <c r="AX30" i="1"/>
  <c r="AN30" i="1"/>
  <c r="AD30" i="1"/>
  <c r="T30" i="1"/>
  <c r="J30" i="1"/>
  <c r="AF232" i="1"/>
  <c r="AE232" i="1"/>
  <c r="V232" i="1"/>
  <c r="U232" i="1"/>
  <c r="AF231" i="1"/>
  <c r="AE231" i="1"/>
  <c r="V231" i="1"/>
  <c r="U231" i="1"/>
  <c r="AF230" i="1"/>
  <c r="AE230" i="1"/>
  <c r="V230" i="1"/>
  <c r="U230" i="1"/>
  <c r="AF229" i="1"/>
  <c r="AE229" i="1"/>
  <c r="V229" i="1"/>
  <c r="U229" i="1"/>
  <c r="AF228" i="1"/>
  <c r="AE228" i="1"/>
  <c r="V228" i="1"/>
  <c r="U228" i="1"/>
  <c r="AF227" i="1"/>
  <c r="AE227" i="1"/>
  <c r="V227" i="1"/>
  <c r="U227" i="1"/>
  <c r="AF226" i="1"/>
  <c r="AE226" i="1"/>
  <c r="V226" i="1"/>
  <c r="U226" i="1"/>
  <c r="AF225" i="1"/>
  <c r="AE225" i="1"/>
  <c r="V225" i="1"/>
  <c r="U225" i="1"/>
  <c r="AF224" i="1"/>
  <c r="AE224" i="1"/>
  <c r="V224" i="1"/>
  <c r="U224" i="1"/>
  <c r="AF223" i="1"/>
  <c r="AE223" i="1"/>
  <c r="V223" i="1"/>
  <c r="U223" i="1"/>
  <c r="AF222" i="1"/>
  <c r="AE222" i="1"/>
  <c r="V222" i="1"/>
  <c r="U222" i="1"/>
  <c r="AF221" i="1"/>
  <c r="AE221" i="1"/>
  <c r="V221" i="1"/>
  <c r="U221" i="1"/>
  <c r="AF220" i="1"/>
  <c r="AE220" i="1"/>
  <c r="V220" i="1"/>
  <c r="U220" i="1"/>
  <c r="AF219" i="1"/>
  <c r="AE219" i="1"/>
  <c r="V219" i="1"/>
  <c r="U219" i="1"/>
  <c r="AF218" i="1"/>
  <c r="AE218" i="1"/>
  <c r="V218" i="1"/>
  <c r="U218" i="1"/>
  <c r="AF217" i="1"/>
  <c r="AE217" i="1"/>
  <c r="V217" i="1"/>
  <c r="U217" i="1"/>
  <c r="AF216" i="1"/>
  <c r="AE216" i="1"/>
  <c r="V216" i="1"/>
  <c r="U216" i="1"/>
  <c r="AF215" i="1"/>
  <c r="AE215" i="1"/>
  <c r="V215" i="1"/>
  <c r="U215" i="1"/>
  <c r="AF214" i="1"/>
  <c r="AE214" i="1"/>
  <c r="V214" i="1"/>
  <c r="U214" i="1"/>
  <c r="AF213" i="1"/>
  <c r="AE213" i="1"/>
  <c r="V213" i="1"/>
  <c r="U213" i="1"/>
  <c r="AF212" i="1"/>
  <c r="AE212" i="1"/>
  <c r="V212" i="1"/>
  <c r="U212" i="1"/>
  <c r="AF211" i="1"/>
  <c r="AE211" i="1"/>
  <c r="V211" i="1"/>
  <c r="U211" i="1"/>
  <c r="AF210" i="1"/>
  <c r="AE210" i="1"/>
  <c r="V210" i="1"/>
  <c r="U210" i="1"/>
  <c r="AF209" i="1"/>
  <c r="AE209" i="1"/>
  <c r="V209" i="1"/>
  <c r="U209" i="1"/>
  <c r="AF208" i="1"/>
  <c r="AE208" i="1"/>
  <c r="V208" i="1"/>
  <c r="U208" i="1"/>
  <c r="AF207" i="1"/>
  <c r="AE207" i="1"/>
  <c r="V207" i="1"/>
  <c r="U207" i="1"/>
  <c r="AF206" i="1"/>
  <c r="AF233" i="1" s="1"/>
  <c r="AE206" i="1"/>
  <c r="AE233" i="1" s="1"/>
  <c r="U206" i="1"/>
  <c r="U233" i="1" s="1"/>
  <c r="AF203" i="1"/>
  <c r="AE203" i="1"/>
  <c r="V203" i="1"/>
  <c r="U203" i="1"/>
  <c r="K203" i="1"/>
  <c r="AF202" i="1"/>
  <c r="AE202" i="1"/>
  <c r="V202" i="1"/>
  <c r="U202" i="1"/>
  <c r="K202" i="1"/>
  <c r="AF201" i="1"/>
  <c r="AE201" i="1"/>
  <c r="V201" i="1"/>
  <c r="U201" i="1"/>
  <c r="K201" i="1"/>
  <c r="AF200" i="1"/>
  <c r="AE200" i="1"/>
  <c r="V200" i="1"/>
  <c r="U200" i="1"/>
  <c r="K200" i="1"/>
  <c r="AF199" i="1"/>
  <c r="AE199" i="1"/>
  <c r="V199" i="1"/>
  <c r="U199" i="1"/>
  <c r="K199" i="1"/>
  <c r="AF198" i="1"/>
  <c r="AE198" i="1"/>
  <c r="V198" i="1"/>
  <c r="U198" i="1"/>
  <c r="K198" i="1"/>
  <c r="AF197" i="1"/>
  <c r="AE197" i="1"/>
  <c r="V197" i="1"/>
  <c r="U197" i="1"/>
  <c r="K197" i="1"/>
  <c r="AF196" i="1"/>
  <c r="AE196" i="1"/>
  <c r="V196" i="1"/>
  <c r="U196" i="1"/>
  <c r="K196" i="1"/>
  <c r="AF195" i="1"/>
  <c r="AE195" i="1"/>
  <c r="V195" i="1"/>
  <c r="U195" i="1"/>
  <c r="K195" i="1"/>
  <c r="AF194" i="1"/>
  <c r="AE194" i="1"/>
  <c r="V194" i="1"/>
  <c r="U194" i="1"/>
  <c r="K194" i="1"/>
  <c r="AF193" i="1"/>
  <c r="AE193" i="1"/>
  <c r="V193" i="1"/>
  <c r="U193" i="1"/>
  <c r="K193" i="1"/>
  <c r="AF192" i="1"/>
  <c r="AE192" i="1"/>
  <c r="V192" i="1"/>
  <c r="U192" i="1"/>
  <c r="K192" i="1"/>
  <c r="AF191" i="1"/>
  <c r="AE191" i="1"/>
  <c r="V191" i="1"/>
  <c r="U191" i="1"/>
  <c r="K191" i="1"/>
  <c r="AF190" i="1"/>
  <c r="AE190" i="1"/>
  <c r="V190" i="1"/>
  <c r="U190" i="1"/>
  <c r="K190" i="1"/>
  <c r="AF189" i="1"/>
  <c r="AE189" i="1"/>
  <c r="V189" i="1"/>
  <c r="U189" i="1"/>
  <c r="K189" i="1"/>
  <c r="AF188" i="1"/>
  <c r="AE188" i="1"/>
  <c r="V188" i="1"/>
  <c r="U188" i="1"/>
  <c r="K188" i="1"/>
  <c r="AF187" i="1"/>
  <c r="AE187" i="1"/>
  <c r="V187" i="1"/>
  <c r="U187" i="1"/>
  <c r="K187" i="1"/>
  <c r="AF186" i="1"/>
  <c r="AE186" i="1"/>
  <c r="V186" i="1"/>
  <c r="U186" i="1"/>
  <c r="K186" i="1"/>
  <c r="AF185" i="1"/>
  <c r="AE185" i="1"/>
  <c r="V185" i="1"/>
  <c r="U185" i="1"/>
  <c r="K185" i="1"/>
  <c r="AF184" i="1"/>
  <c r="AE184" i="1"/>
  <c r="V184" i="1"/>
  <c r="U184" i="1"/>
  <c r="K184" i="1"/>
  <c r="AF183" i="1"/>
  <c r="AE183" i="1"/>
  <c r="V183" i="1"/>
  <c r="U183" i="1"/>
  <c r="K183" i="1"/>
  <c r="AF182" i="1"/>
  <c r="AE182" i="1"/>
  <c r="V182" i="1"/>
  <c r="U182" i="1"/>
  <c r="K182" i="1"/>
  <c r="AF181" i="1"/>
  <c r="AE181" i="1"/>
  <c r="V181" i="1"/>
  <c r="U181" i="1"/>
  <c r="K181" i="1"/>
  <c r="AF180" i="1"/>
  <c r="AE180" i="1"/>
  <c r="V180" i="1"/>
  <c r="U180" i="1"/>
  <c r="K180" i="1"/>
  <c r="AF179" i="1"/>
  <c r="AE179" i="1"/>
  <c r="V179" i="1"/>
  <c r="U179" i="1"/>
  <c r="K179" i="1"/>
  <c r="AF178" i="1"/>
  <c r="AE178" i="1"/>
  <c r="V178" i="1"/>
  <c r="U178" i="1"/>
  <c r="K178" i="1"/>
  <c r="AF177" i="1"/>
  <c r="AF204" i="1" s="1"/>
  <c r="AE177" i="1"/>
  <c r="V177" i="1"/>
  <c r="U177" i="1"/>
  <c r="K177" i="1"/>
  <c r="K204" i="1" s="1"/>
  <c r="AF174" i="1"/>
  <c r="AE174" i="1"/>
  <c r="V174" i="1"/>
  <c r="U174" i="1"/>
  <c r="K174" i="1"/>
  <c r="AF173" i="1"/>
  <c r="AE173" i="1"/>
  <c r="V173" i="1"/>
  <c r="U173" i="1"/>
  <c r="K173" i="1"/>
  <c r="AF172" i="1"/>
  <c r="AE172" i="1"/>
  <c r="V172" i="1"/>
  <c r="U172" i="1"/>
  <c r="K172" i="1"/>
  <c r="AF171" i="1"/>
  <c r="AE171" i="1"/>
  <c r="V171" i="1"/>
  <c r="U171" i="1"/>
  <c r="K171" i="1"/>
  <c r="AF170" i="1"/>
  <c r="AE170" i="1"/>
  <c r="V170" i="1"/>
  <c r="U170" i="1"/>
  <c r="K170" i="1"/>
  <c r="AF169" i="1"/>
  <c r="AE169" i="1"/>
  <c r="V169" i="1"/>
  <c r="U169" i="1"/>
  <c r="K169" i="1"/>
  <c r="AF168" i="1"/>
  <c r="AE168" i="1"/>
  <c r="V168" i="1"/>
  <c r="U168" i="1"/>
  <c r="K168" i="1"/>
  <c r="AF167" i="1"/>
  <c r="AE167" i="1"/>
  <c r="V167" i="1"/>
  <c r="U167" i="1"/>
  <c r="K167" i="1"/>
  <c r="AF166" i="1"/>
  <c r="AE166" i="1"/>
  <c r="V166" i="1"/>
  <c r="U166" i="1"/>
  <c r="K166" i="1"/>
  <c r="AF165" i="1"/>
  <c r="AE165" i="1"/>
  <c r="V165" i="1"/>
  <c r="U165" i="1"/>
  <c r="K165" i="1"/>
  <c r="AF164" i="1"/>
  <c r="AE164" i="1"/>
  <c r="V164" i="1"/>
  <c r="U164" i="1"/>
  <c r="K164" i="1"/>
  <c r="AF163" i="1"/>
  <c r="AE163" i="1"/>
  <c r="V163" i="1"/>
  <c r="U163" i="1"/>
  <c r="K163" i="1"/>
  <c r="AF162" i="1"/>
  <c r="AE162" i="1"/>
  <c r="V162" i="1"/>
  <c r="U162" i="1"/>
  <c r="K162" i="1"/>
  <c r="AF161" i="1"/>
  <c r="AE161" i="1"/>
  <c r="V161" i="1"/>
  <c r="U161" i="1"/>
  <c r="K161" i="1"/>
  <c r="AF160" i="1"/>
  <c r="AE160" i="1"/>
  <c r="V160" i="1"/>
  <c r="U160" i="1"/>
  <c r="K160" i="1"/>
  <c r="AF159" i="1"/>
  <c r="AE159" i="1"/>
  <c r="V159" i="1"/>
  <c r="U159" i="1"/>
  <c r="K159" i="1"/>
  <c r="AF158" i="1"/>
  <c r="AE158" i="1"/>
  <c r="V158" i="1"/>
  <c r="U158" i="1"/>
  <c r="K158" i="1"/>
  <c r="AF157" i="1"/>
  <c r="AE157" i="1"/>
  <c r="V157" i="1"/>
  <c r="U157" i="1"/>
  <c r="K157" i="1"/>
  <c r="AF156" i="1"/>
  <c r="AE156" i="1"/>
  <c r="V156" i="1"/>
  <c r="U156" i="1"/>
  <c r="K156" i="1"/>
  <c r="AF155" i="1"/>
  <c r="AE155" i="1"/>
  <c r="V155" i="1"/>
  <c r="U155" i="1"/>
  <c r="K155" i="1"/>
  <c r="AF154" i="1"/>
  <c r="AE154" i="1"/>
  <c r="V154" i="1"/>
  <c r="U154" i="1"/>
  <c r="K154" i="1"/>
  <c r="AF153" i="1"/>
  <c r="AE153" i="1"/>
  <c r="V153" i="1"/>
  <c r="U153" i="1"/>
  <c r="K153" i="1"/>
  <c r="AF152" i="1"/>
  <c r="AE152" i="1"/>
  <c r="V152" i="1"/>
  <c r="U152" i="1"/>
  <c r="K152" i="1"/>
  <c r="AF151" i="1"/>
  <c r="AE151" i="1"/>
  <c r="V151" i="1"/>
  <c r="U151" i="1"/>
  <c r="K151" i="1"/>
  <c r="AF150" i="1"/>
  <c r="AE150" i="1"/>
  <c r="V150" i="1"/>
  <c r="U150" i="1"/>
  <c r="K150" i="1"/>
  <c r="AF149" i="1"/>
  <c r="AF175" i="1" s="1"/>
  <c r="AE149" i="1"/>
  <c r="V149" i="1"/>
  <c r="U149" i="1"/>
  <c r="K149" i="1"/>
  <c r="AF148" i="1"/>
  <c r="AE148" i="1"/>
  <c r="V148" i="1"/>
  <c r="U148" i="1"/>
  <c r="K148" i="1"/>
  <c r="K175" i="1" s="1"/>
  <c r="AF145" i="1"/>
  <c r="AE145" i="1"/>
  <c r="V145" i="1"/>
  <c r="U145" i="1"/>
  <c r="K145" i="1"/>
  <c r="AF144" i="1"/>
  <c r="AE144" i="1"/>
  <c r="V144" i="1"/>
  <c r="U144" i="1"/>
  <c r="K144" i="1"/>
  <c r="AF143" i="1"/>
  <c r="AE143" i="1"/>
  <c r="V143" i="1"/>
  <c r="U143" i="1"/>
  <c r="K143" i="1"/>
  <c r="AF142" i="1"/>
  <c r="AE142" i="1"/>
  <c r="V142" i="1"/>
  <c r="U142" i="1"/>
  <c r="K142" i="1"/>
  <c r="AF141" i="1"/>
  <c r="AE141" i="1"/>
  <c r="V141" i="1"/>
  <c r="U141" i="1"/>
  <c r="K141" i="1"/>
  <c r="AF140" i="1"/>
  <c r="AE140" i="1"/>
  <c r="V140" i="1"/>
  <c r="U140" i="1"/>
  <c r="K140" i="1"/>
  <c r="AF139" i="1"/>
  <c r="AE139" i="1"/>
  <c r="V139" i="1"/>
  <c r="U139" i="1"/>
  <c r="K139" i="1"/>
  <c r="AF138" i="1"/>
  <c r="AE138" i="1"/>
  <c r="V138" i="1"/>
  <c r="U138" i="1"/>
  <c r="K138" i="1"/>
  <c r="AF137" i="1"/>
  <c r="AE137" i="1"/>
  <c r="V137" i="1"/>
  <c r="U137" i="1"/>
  <c r="K137" i="1"/>
  <c r="AF136" i="1"/>
  <c r="AE136" i="1"/>
  <c r="V136" i="1"/>
  <c r="U136" i="1"/>
  <c r="K136" i="1"/>
  <c r="AF135" i="1"/>
  <c r="AE135" i="1"/>
  <c r="V135" i="1"/>
  <c r="U135" i="1"/>
  <c r="K135" i="1"/>
  <c r="AF134" i="1"/>
  <c r="AE134" i="1"/>
  <c r="V134" i="1"/>
  <c r="U134" i="1"/>
  <c r="K134" i="1"/>
  <c r="AF133" i="1"/>
  <c r="AE133" i="1"/>
  <c r="V133" i="1"/>
  <c r="U133" i="1"/>
  <c r="K133" i="1"/>
  <c r="AF132" i="1"/>
  <c r="AE132" i="1"/>
  <c r="V132" i="1"/>
  <c r="U132" i="1"/>
  <c r="K132" i="1"/>
  <c r="AF131" i="1"/>
  <c r="AE131" i="1"/>
  <c r="V131" i="1"/>
  <c r="U131" i="1"/>
  <c r="K131" i="1"/>
  <c r="AF130" i="1"/>
  <c r="AE130" i="1"/>
  <c r="V130" i="1"/>
  <c r="U130" i="1"/>
  <c r="K130" i="1"/>
  <c r="AF129" i="1"/>
  <c r="AE129" i="1"/>
  <c r="V129" i="1"/>
  <c r="U129" i="1"/>
  <c r="K129" i="1"/>
  <c r="AF128" i="1"/>
  <c r="AE128" i="1"/>
  <c r="V128" i="1"/>
  <c r="U128" i="1"/>
  <c r="K128" i="1"/>
  <c r="AF127" i="1"/>
  <c r="AE127" i="1"/>
  <c r="V127" i="1"/>
  <c r="U127" i="1"/>
  <c r="K127" i="1"/>
  <c r="AF126" i="1"/>
  <c r="AE126" i="1"/>
  <c r="V126" i="1"/>
  <c r="U126" i="1"/>
  <c r="K126" i="1"/>
  <c r="AF125" i="1"/>
  <c r="AE125" i="1"/>
  <c r="V125" i="1"/>
  <c r="U125" i="1"/>
  <c r="K125" i="1"/>
  <c r="AF124" i="1"/>
  <c r="AE124" i="1"/>
  <c r="V124" i="1"/>
  <c r="U124" i="1"/>
  <c r="K124" i="1"/>
  <c r="AF123" i="1"/>
  <c r="AE123" i="1"/>
  <c r="V123" i="1"/>
  <c r="U123" i="1"/>
  <c r="K123" i="1"/>
  <c r="AF122" i="1"/>
  <c r="AE122" i="1"/>
  <c r="V122" i="1"/>
  <c r="U122" i="1"/>
  <c r="K122" i="1"/>
  <c r="AF121" i="1"/>
  <c r="AE121" i="1"/>
  <c r="V121" i="1"/>
  <c r="U121" i="1"/>
  <c r="K121" i="1"/>
  <c r="AF120" i="1"/>
  <c r="AE120" i="1"/>
  <c r="V120" i="1"/>
  <c r="U120" i="1"/>
  <c r="K120" i="1"/>
  <c r="AF119" i="1"/>
  <c r="AF146" i="1" s="1"/>
  <c r="AE119" i="1"/>
  <c r="V119" i="1"/>
  <c r="U119" i="1"/>
  <c r="K119" i="1"/>
  <c r="K146" i="1" s="1"/>
  <c r="AF116" i="1"/>
  <c r="AE116" i="1"/>
  <c r="V116" i="1"/>
  <c r="U116" i="1"/>
  <c r="K116" i="1"/>
  <c r="AF115" i="1"/>
  <c r="AE115" i="1"/>
  <c r="V115" i="1"/>
  <c r="U115" i="1"/>
  <c r="K115" i="1"/>
  <c r="AF114" i="1"/>
  <c r="AE114" i="1"/>
  <c r="V114" i="1"/>
  <c r="U114" i="1"/>
  <c r="K114" i="1"/>
  <c r="AF113" i="1"/>
  <c r="AE113" i="1"/>
  <c r="V113" i="1"/>
  <c r="U113" i="1"/>
  <c r="K113" i="1"/>
  <c r="AF112" i="1"/>
  <c r="AE112" i="1"/>
  <c r="V112" i="1"/>
  <c r="U112" i="1"/>
  <c r="K112" i="1"/>
  <c r="AF111" i="1"/>
  <c r="AE111" i="1"/>
  <c r="V111" i="1"/>
  <c r="U111" i="1"/>
  <c r="K111" i="1"/>
  <c r="AF110" i="1"/>
  <c r="AE110" i="1"/>
  <c r="V110" i="1"/>
  <c r="U110" i="1"/>
  <c r="K110" i="1"/>
  <c r="AF109" i="1"/>
  <c r="AE109" i="1"/>
  <c r="V109" i="1"/>
  <c r="U109" i="1"/>
  <c r="K109" i="1"/>
  <c r="AF108" i="1"/>
  <c r="AE108" i="1"/>
  <c r="V108" i="1"/>
  <c r="U108" i="1"/>
  <c r="K108" i="1"/>
  <c r="AF107" i="1"/>
  <c r="AE107" i="1"/>
  <c r="V107" i="1"/>
  <c r="U107" i="1"/>
  <c r="K107" i="1"/>
  <c r="AF106" i="1"/>
  <c r="AE106" i="1"/>
  <c r="V106" i="1"/>
  <c r="U106" i="1"/>
  <c r="K106" i="1"/>
  <c r="AF105" i="1"/>
  <c r="AE105" i="1"/>
  <c r="V105" i="1"/>
  <c r="U105" i="1"/>
  <c r="K105" i="1"/>
  <c r="AF104" i="1"/>
  <c r="AE104" i="1"/>
  <c r="V104" i="1"/>
  <c r="U104" i="1"/>
  <c r="K104" i="1"/>
  <c r="AF103" i="1"/>
  <c r="AE103" i="1"/>
  <c r="V103" i="1"/>
  <c r="U103" i="1"/>
  <c r="K103" i="1"/>
  <c r="AF102" i="1"/>
  <c r="AE102" i="1"/>
  <c r="V102" i="1"/>
  <c r="U102" i="1"/>
  <c r="K102" i="1"/>
  <c r="AF101" i="1"/>
  <c r="AE101" i="1"/>
  <c r="V101" i="1"/>
  <c r="U101" i="1"/>
  <c r="K101" i="1"/>
  <c r="AF100" i="1"/>
  <c r="AE100" i="1"/>
  <c r="V100" i="1"/>
  <c r="U100" i="1"/>
  <c r="K100" i="1"/>
  <c r="AF99" i="1"/>
  <c r="AE99" i="1"/>
  <c r="V99" i="1"/>
  <c r="U99" i="1"/>
  <c r="K99" i="1"/>
  <c r="AF98" i="1"/>
  <c r="AE98" i="1"/>
  <c r="V98" i="1"/>
  <c r="U98" i="1"/>
  <c r="K98" i="1"/>
  <c r="AF97" i="1"/>
  <c r="AE97" i="1"/>
  <c r="V97" i="1"/>
  <c r="U97" i="1"/>
  <c r="K97" i="1"/>
  <c r="AF96" i="1"/>
  <c r="AE96" i="1"/>
  <c r="V96" i="1"/>
  <c r="U96" i="1"/>
  <c r="K96" i="1"/>
  <c r="AF95" i="1"/>
  <c r="AE95" i="1"/>
  <c r="V95" i="1"/>
  <c r="U95" i="1"/>
  <c r="K95" i="1"/>
  <c r="AF94" i="1"/>
  <c r="AE94" i="1"/>
  <c r="V94" i="1"/>
  <c r="U94" i="1"/>
  <c r="K94" i="1"/>
  <c r="AF93" i="1"/>
  <c r="AE93" i="1"/>
  <c r="V93" i="1"/>
  <c r="U93" i="1"/>
  <c r="K93" i="1"/>
  <c r="AF92" i="1"/>
  <c r="AE92" i="1"/>
  <c r="V92" i="1"/>
  <c r="U92" i="1"/>
  <c r="K92" i="1"/>
  <c r="AF91" i="1"/>
  <c r="AE91" i="1"/>
  <c r="V91" i="1"/>
  <c r="U91" i="1"/>
  <c r="K91" i="1"/>
  <c r="K117" i="1" s="1"/>
  <c r="AF90" i="1"/>
  <c r="AF117" i="1" s="1"/>
  <c r="AE90" i="1"/>
  <c r="V90" i="1"/>
  <c r="U90" i="1"/>
  <c r="K90" i="1"/>
  <c r="AF87" i="1"/>
  <c r="AE87" i="1"/>
  <c r="V87" i="1"/>
  <c r="U87" i="1"/>
  <c r="K87" i="1"/>
  <c r="AF86" i="1"/>
  <c r="AE86" i="1"/>
  <c r="V86" i="1"/>
  <c r="U86" i="1"/>
  <c r="K86" i="1"/>
  <c r="AF85" i="1"/>
  <c r="AE85" i="1"/>
  <c r="V85" i="1"/>
  <c r="U85" i="1"/>
  <c r="K85" i="1"/>
  <c r="AF84" i="1"/>
  <c r="AE84" i="1"/>
  <c r="V84" i="1"/>
  <c r="U84" i="1"/>
  <c r="K84" i="1"/>
  <c r="AF83" i="1"/>
  <c r="AE83" i="1"/>
  <c r="V83" i="1"/>
  <c r="U83" i="1"/>
  <c r="K83" i="1"/>
  <c r="AF82" i="1"/>
  <c r="AE82" i="1"/>
  <c r="V82" i="1"/>
  <c r="U82" i="1"/>
  <c r="K82" i="1"/>
  <c r="AF81" i="1"/>
  <c r="AE81" i="1"/>
  <c r="V81" i="1"/>
  <c r="U81" i="1"/>
  <c r="K81" i="1"/>
  <c r="AF80" i="1"/>
  <c r="AE80" i="1"/>
  <c r="V80" i="1"/>
  <c r="U80" i="1"/>
  <c r="K80" i="1"/>
  <c r="AF79" i="1"/>
  <c r="AE79" i="1"/>
  <c r="V79" i="1"/>
  <c r="U79" i="1"/>
  <c r="K79" i="1"/>
  <c r="AF78" i="1"/>
  <c r="AE78" i="1"/>
  <c r="V78" i="1"/>
  <c r="U78" i="1"/>
  <c r="K78" i="1"/>
  <c r="AF77" i="1"/>
  <c r="AE77" i="1"/>
  <c r="V77" i="1"/>
  <c r="U77" i="1"/>
  <c r="K77" i="1"/>
  <c r="AF76" i="1"/>
  <c r="AE76" i="1"/>
  <c r="V76" i="1"/>
  <c r="U76" i="1"/>
  <c r="K76" i="1"/>
  <c r="AF75" i="1"/>
  <c r="AE75" i="1"/>
  <c r="V75" i="1"/>
  <c r="U75" i="1"/>
  <c r="K75" i="1"/>
  <c r="AF74" i="1"/>
  <c r="AE74" i="1"/>
  <c r="V74" i="1"/>
  <c r="U74" i="1"/>
  <c r="K74" i="1"/>
  <c r="AF73" i="1"/>
  <c r="AE73" i="1"/>
  <c r="V73" i="1"/>
  <c r="U73" i="1"/>
  <c r="K73" i="1"/>
  <c r="AF72" i="1"/>
  <c r="AE72" i="1"/>
  <c r="V72" i="1"/>
  <c r="U72" i="1"/>
  <c r="K72" i="1"/>
  <c r="AF71" i="1"/>
  <c r="AE71" i="1"/>
  <c r="V71" i="1"/>
  <c r="U71" i="1"/>
  <c r="K71" i="1"/>
  <c r="AF70" i="1"/>
  <c r="AE70" i="1"/>
  <c r="V70" i="1"/>
  <c r="U70" i="1"/>
  <c r="K70" i="1"/>
  <c r="AF69" i="1"/>
  <c r="AE69" i="1"/>
  <c r="V69" i="1"/>
  <c r="U69" i="1"/>
  <c r="K69" i="1"/>
  <c r="AF68" i="1"/>
  <c r="AE68" i="1"/>
  <c r="V68" i="1"/>
  <c r="U68" i="1"/>
  <c r="K68" i="1"/>
  <c r="AF67" i="1"/>
  <c r="AE67" i="1"/>
  <c r="V67" i="1"/>
  <c r="U67" i="1"/>
  <c r="K67" i="1"/>
  <c r="AF66" i="1"/>
  <c r="AE66" i="1"/>
  <c r="V66" i="1"/>
  <c r="U66" i="1"/>
  <c r="K66" i="1"/>
  <c r="AF65" i="1"/>
  <c r="AE65" i="1"/>
  <c r="V65" i="1"/>
  <c r="U65" i="1"/>
  <c r="K65" i="1"/>
  <c r="AF64" i="1"/>
  <c r="AE64" i="1"/>
  <c r="V64" i="1"/>
  <c r="U64" i="1"/>
  <c r="K64" i="1"/>
  <c r="AF63" i="1"/>
  <c r="AE63" i="1"/>
  <c r="V63" i="1"/>
  <c r="U63" i="1"/>
  <c r="K63" i="1"/>
  <c r="AF62" i="1"/>
  <c r="AE62" i="1"/>
  <c r="V62" i="1"/>
  <c r="U62" i="1"/>
  <c r="K62" i="1"/>
  <c r="AF61" i="1"/>
  <c r="AF88" i="1" s="1"/>
  <c r="AE61" i="1"/>
  <c r="V61" i="1"/>
  <c r="U61" i="1"/>
  <c r="K61" i="1"/>
  <c r="K88" i="1" s="1"/>
  <c r="AF58" i="1"/>
  <c r="AE58" i="1"/>
  <c r="V58" i="1"/>
  <c r="U58" i="1"/>
  <c r="K58" i="1"/>
  <c r="AF57" i="1"/>
  <c r="AE57" i="1"/>
  <c r="V57" i="1"/>
  <c r="U57" i="1"/>
  <c r="K57" i="1"/>
  <c r="AF56" i="1"/>
  <c r="AE56" i="1"/>
  <c r="V56" i="1"/>
  <c r="U56" i="1"/>
  <c r="K56" i="1"/>
  <c r="AF55" i="1"/>
  <c r="AE55" i="1"/>
  <c r="V55" i="1"/>
  <c r="U55" i="1"/>
  <c r="K55" i="1"/>
  <c r="AF54" i="1"/>
  <c r="AE54" i="1"/>
  <c r="V54" i="1"/>
  <c r="U54" i="1"/>
  <c r="K54" i="1"/>
  <c r="AF53" i="1"/>
  <c r="AE53" i="1"/>
  <c r="V53" i="1"/>
  <c r="U53" i="1"/>
  <c r="K53" i="1"/>
  <c r="AF52" i="1"/>
  <c r="AE52" i="1"/>
  <c r="V52" i="1"/>
  <c r="U52" i="1"/>
  <c r="K52" i="1"/>
  <c r="AF51" i="1"/>
  <c r="AE51" i="1"/>
  <c r="V51" i="1"/>
  <c r="U51" i="1"/>
  <c r="K51" i="1"/>
  <c r="AF50" i="1"/>
  <c r="AE50" i="1"/>
  <c r="V50" i="1"/>
  <c r="U50" i="1"/>
  <c r="K50" i="1"/>
  <c r="AF49" i="1"/>
  <c r="AE49" i="1"/>
  <c r="V49" i="1"/>
  <c r="U49" i="1"/>
  <c r="K49" i="1"/>
  <c r="AF48" i="1"/>
  <c r="AE48" i="1"/>
  <c r="V48" i="1"/>
  <c r="U48" i="1"/>
  <c r="K48" i="1"/>
  <c r="AF47" i="1"/>
  <c r="AE47" i="1"/>
  <c r="V47" i="1"/>
  <c r="U47" i="1"/>
  <c r="K47" i="1"/>
  <c r="AF46" i="1"/>
  <c r="AE46" i="1"/>
  <c r="V46" i="1"/>
  <c r="U46" i="1"/>
  <c r="K46" i="1"/>
  <c r="AF45" i="1"/>
  <c r="AE45" i="1"/>
  <c r="V45" i="1"/>
  <c r="U45" i="1"/>
  <c r="K45" i="1"/>
  <c r="AF44" i="1"/>
  <c r="AE44" i="1"/>
  <c r="V44" i="1"/>
  <c r="U44" i="1"/>
  <c r="K44" i="1"/>
  <c r="AF43" i="1"/>
  <c r="AE43" i="1"/>
  <c r="V43" i="1"/>
  <c r="U43" i="1"/>
  <c r="K43" i="1"/>
  <c r="AF42" i="1"/>
  <c r="AE42" i="1"/>
  <c r="V42" i="1"/>
  <c r="U42" i="1"/>
  <c r="K42" i="1"/>
  <c r="AF41" i="1"/>
  <c r="AE41" i="1"/>
  <c r="V41" i="1"/>
  <c r="U41" i="1"/>
  <c r="K41" i="1"/>
  <c r="AF40" i="1"/>
  <c r="AE40" i="1"/>
  <c r="V40" i="1"/>
  <c r="U40" i="1"/>
  <c r="K40" i="1"/>
  <c r="AF39" i="1"/>
  <c r="AE39" i="1"/>
  <c r="V39" i="1"/>
  <c r="U39" i="1"/>
  <c r="K39" i="1"/>
  <c r="AF38" i="1"/>
  <c r="AE38" i="1"/>
  <c r="V38" i="1"/>
  <c r="U38" i="1"/>
  <c r="K38" i="1"/>
  <c r="AF37" i="1"/>
  <c r="AE37" i="1"/>
  <c r="V37" i="1"/>
  <c r="U37" i="1"/>
  <c r="K37" i="1"/>
  <c r="AF36" i="1"/>
  <c r="AE36" i="1"/>
  <c r="V36" i="1"/>
  <c r="U36" i="1"/>
  <c r="K36" i="1"/>
  <c r="AF35" i="1"/>
  <c r="AE35" i="1"/>
  <c r="V35" i="1"/>
  <c r="U35" i="1"/>
  <c r="K35" i="1"/>
  <c r="AF34" i="1"/>
  <c r="AE34" i="1"/>
  <c r="V34" i="1"/>
  <c r="U34" i="1"/>
  <c r="K34" i="1"/>
  <c r="K59" i="1" s="1"/>
  <c r="AF33" i="1"/>
  <c r="AE33" i="1"/>
  <c r="V33" i="1"/>
  <c r="U33" i="1"/>
  <c r="K33" i="1"/>
  <c r="AF32" i="1"/>
  <c r="AF59" i="1" s="1"/>
  <c r="AE32" i="1"/>
  <c r="V32" i="1"/>
  <c r="U32" i="1"/>
  <c r="K32" i="1"/>
  <c r="AF29" i="1"/>
  <c r="AE29" i="1"/>
  <c r="AF28" i="1"/>
  <c r="AE28" i="1"/>
  <c r="AF27" i="1"/>
  <c r="AE27" i="1"/>
  <c r="AF26" i="1"/>
  <c r="AE26" i="1"/>
  <c r="AF25" i="1"/>
  <c r="AE25" i="1"/>
  <c r="AF24" i="1"/>
  <c r="AE24" i="1"/>
  <c r="AF23" i="1"/>
  <c r="AE23" i="1"/>
  <c r="AF22" i="1"/>
  <c r="AE22" i="1"/>
  <c r="AF21" i="1"/>
  <c r="AE21" i="1"/>
  <c r="AF20" i="1"/>
  <c r="AE20" i="1"/>
  <c r="AF19" i="1"/>
  <c r="AE19" i="1"/>
  <c r="AF18" i="1"/>
  <c r="AE18" i="1"/>
  <c r="AF17" i="1"/>
  <c r="AE17" i="1"/>
  <c r="AF16" i="1"/>
  <c r="AE16" i="1"/>
  <c r="AF15" i="1"/>
  <c r="AE15" i="1"/>
  <c r="AF14" i="1"/>
  <c r="AE14" i="1"/>
  <c r="AF13" i="1"/>
  <c r="AE13" i="1"/>
  <c r="AF12" i="1"/>
  <c r="AE12" i="1"/>
  <c r="AF11" i="1"/>
  <c r="AE11" i="1"/>
  <c r="AF10" i="1"/>
  <c r="AE10" i="1"/>
  <c r="AF9" i="1"/>
  <c r="AE9" i="1"/>
  <c r="AF8" i="1"/>
  <c r="AE8" i="1"/>
  <c r="AF7" i="1"/>
  <c r="AE7" i="1"/>
  <c r="AF6" i="1"/>
  <c r="AE6" i="1"/>
  <c r="AF5" i="1"/>
  <c r="AE5" i="1"/>
  <c r="AF4" i="1"/>
  <c r="AE4" i="1"/>
  <c r="AF3" i="1"/>
  <c r="AE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" i="1"/>
  <c r="AW30" i="1"/>
  <c r="AV30" i="1"/>
  <c r="AU30" i="1"/>
  <c r="AT30" i="1"/>
  <c r="AS30" i="1"/>
  <c r="AR30" i="1"/>
  <c r="AM30" i="1"/>
  <c r="AL30" i="1"/>
  <c r="AK30" i="1"/>
  <c r="AJ30" i="1"/>
  <c r="AI30" i="1"/>
  <c r="AH30" i="1"/>
  <c r="AC30" i="1"/>
  <c r="AB30" i="1"/>
  <c r="AA30" i="1"/>
  <c r="Z30" i="1"/>
  <c r="Y30" i="1"/>
  <c r="X30" i="1"/>
  <c r="S30" i="1"/>
  <c r="R30" i="1"/>
  <c r="Q30" i="1"/>
  <c r="P30" i="1"/>
  <c r="V30" i="1" s="1"/>
  <c r="O30" i="1"/>
  <c r="N30" i="1"/>
  <c r="E30" i="1"/>
  <c r="F30" i="1"/>
  <c r="G30" i="1"/>
  <c r="H30" i="1"/>
  <c r="I30" i="1"/>
  <c r="L30" i="1"/>
  <c r="D30" i="1"/>
  <c r="B30" i="1"/>
  <c r="AP30" i="1" l="1"/>
  <c r="AP146" i="1"/>
  <c r="AZ30" i="1"/>
  <c r="AZ146" i="1"/>
  <c r="AP117" i="1"/>
  <c r="AP233" i="1"/>
  <c r="AZ117" i="1"/>
  <c r="AZ204" i="1"/>
  <c r="AP59" i="1"/>
  <c r="AP175" i="1"/>
  <c r="AZ59" i="1"/>
  <c r="AZ175" i="1"/>
  <c r="AF30" i="1"/>
  <c r="AE30" i="1"/>
  <c r="U30" i="1"/>
  <c r="K30" i="1"/>
</calcChain>
</file>

<file path=xl/sharedStrings.xml><?xml version="1.0" encoding="utf-8"?>
<sst xmlns="http://schemas.openxmlformats.org/spreadsheetml/2006/main" count="279" uniqueCount="51">
  <si>
    <t>A Sabine m2</t>
  </si>
  <si>
    <t>TR Sabine S</t>
  </si>
  <si>
    <t>L sabine dB</t>
  </si>
  <si>
    <t>A Eyring m2</t>
  </si>
  <si>
    <t>TR eyring S</t>
  </si>
  <si>
    <t>Real Measurements</t>
  </si>
  <si>
    <t>RT60</t>
  </si>
  <si>
    <t>RT60 Comparison to real</t>
  </si>
  <si>
    <t>RT60 Comparison to sim</t>
  </si>
  <si>
    <t>Source 1</t>
  </si>
  <si>
    <t>50 Hz</t>
  </si>
  <si>
    <t>63 Hz</t>
  </si>
  <si>
    <t>80 Hz</t>
  </si>
  <si>
    <t>1000 Hz</t>
  </si>
  <si>
    <t>1250 Hz</t>
  </si>
  <si>
    <t>100 Hz</t>
  </si>
  <si>
    <t>125 Hz</t>
  </si>
  <si>
    <t>200 hz</t>
  </si>
  <si>
    <t>250 Hz</t>
  </si>
  <si>
    <t>315 Hz</t>
  </si>
  <si>
    <t>400 Hz</t>
  </si>
  <si>
    <t>500 Hz</t>
  </si>
  <si>
    <t>630 Hz</t>
  </si>
  <si>
    <t>800 Hz</t>
  </si>
  <si>
    <t>2000 Hz</t>
  </si>
  <si>
    <t>160 Hz</t>
  </si>
  <si>
    <t>1600 Hz</t>
  </si>
  <si>
    <t>2500 Hz</t>
  </si>
  <si>
    <t>3150 Hz</t>
  </si>
  <si>
    <t>4000 Hz</t>
  </si>
  <si>
    <t>5000 Hz</t>
  </si>
  <si>
    <t>6300 Hz</t>
  </si>
  <si>
    <t>8000 Hz</t>
  </si>
  <si>
    <t>10000 Hz</t>
  </si>
  <si>
    <t>12500 Hz</t>
  </si>
  <si>
    <t>16000 Hz</t>
  </si>
  <si>
    <t>20000 Hz</t>
  </si>
  <si>
    <t>Source 8</t>
  </si>
  <si>
    <t>Source 7</t>
  </si>
  <si>
    <t>Source 6</t>
  </si>
  <si>
    <t>Source 5</t>
  </si>
  <si>
    <t>Source 4</t>
  </si>
  <si>
    <t>Source 3</t>
  </si>
  <si>
    <t>Source 2</t>
  </si>
  <si>
    <t>Kaabe</t>
  </si>
  <si>
    <t>Kaabe Rumdelere</t>
  </si>
  <si>
    <t>StarWall</t>
  </si>
  <si>
    <t>Star</t>
  </si>
  <si>
    <t>StandardSim</t>
  </si>
  <si>
    <t>Average</t>
  </si>
  <si>
    <t>L Eyring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</si>
</sst>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0" borderId="3" xfId="0" applyNumberFormat="1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7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2" borderId="5" xfId="0" applyNumberFormat="1" applyFill="1" applyBorder="1"/>
    <xf numFmtId="2" fontId="0" fillId="0" borderId="6" xfId="0" applyNumberFormat="1" applyBorder="1"/>
    <xf numFmtId="2" fontId="0" fillId="2" borderId="4" xfId="0" applyNumberFormat="1" applyFill="1" applyBorder="1"/>
    <xf numFmtId="2" fontId="0" fillId="2" borderId="6" xfId="0" applyNumberFormat="1" applyFill="1" applyBorder="1"/>
    <xf numFmtId="2" fontId="0" fillId="2" borderId="3" xfId="0" applyNumberFormat="1" applyFill="1" applyBorder="1"/>
    <xf numFmtId="2" fontId="0" fillId="0" borderId="0" xfId="0" applyNumberFormat="1"/>
    <xf numFmtId="2" fontId="0" fillId="2" borderId="1" xfId="0" applyNumberFormat="1" applyFill="1" applyBorder="1"/>
    <xf numFmtId="2" fontId="0" fillId="2" borderId="2" xfId="0" applyNumberFormat="1" applyFill="1" applyBorder="1"/>
    <xf numFmtId="2" fontId="0" fillId="0" borderId="9" xfId="0" applyNumberFormat="1" applyBorder="1"/>
    <xf numFmtId="2" fontId="0" fillId="0" borderId="8" xfId="0" applyNumberFormat="1" applyBorder="1"/>
    <xf numFmtId="2" fontId="0" fillId="2" borderId="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8E2F-E33F-444B-9A60-B73E232BC4BB}">
  <dimension ref="A1:AZ234"/>
  <sheetViews>
    <sheetView tabSelected="1" zoomScale="70" zoomScaleNormal="70" workbookViewId="0">
      <selection activeCell="A204" sqref="A204:XFD204"/>
    </sheetView>
  </sheetViews>
  <sheetFormatPr defaultRowHeight="14.4" x14ac:dyDescent="0.3"/>
  <cols>
    <col min="1" max="1" width="18" style="2" bestFit="1" customWidth="1"/>
    <col min="2" max="2" width="5.5546875" style="2" bestFit="1" customWidth="1"/>
    <col min="3" max="3" width="2.21875" style="13" customWidth="1"/>
    <col min="4" max="4" width="12" style="2" bestFit="1" customWidth="1"/>
    <col min="5" max="5" width="11.44140625" style="2" bestFit="1" customWidth="1"/>
    <col min="6" max="8" width="10.77734375" style="2" bestFit="1" customWidth="1"/>
    <col min="9" max="9" width="10.109375" style="2" bestFit="1" customWidth="1"/>
    <col min="10" max="10" width="14.6640625" style="2" bestFit="1" customWidth="1"/>
    <col min="11" max="11" width="22.33203125" style="2" bestFit="1" customWidth="1"/>
    <col min="12" max="12" width="22.21875" style="2" bestFit="1" customWidth="1"/>
    <col min="13" max="13" width="2.21875" style="13" customWidth="1"/>
    <col min="14" max="14" width="6.44140625" style="2" bestFit="1" customWidth="1"/>
    <col min="15" max="15" width="11.44140625" style="2" bestFit="1" customWidth="1"/>
    <col min="16" max="18" width="10.77734375" style="2" bestFit="1" customWidth="1"/>
    <col min="19" max="19" width="10.109375" style="2" bestFit="1" customWidth="1"/>
    <col min="20" max="20" width="10" style="2" customWidth="1"/>
    <col min="21" max="21" width="22.33203125" style="2" bestFit="1" customWidth="1"/>
    <col min="22" max="22" width="22.21875" style="2" bestFit="1" customWidth="1"/>
    <col min="23" max="23" width="2.21875" style="13" customWidth="1"/>
    <col min="24" max="24" width="16.21875" style="2" bestFit="1" customWidth="1"/>
    <col min="25" max="25" width="11.44140625" style="2" bestFit="1" customWidth="1"/>
    <col min="26" max="28" width="10.77734375" style="2" bestFit="1" customWidth="1"/>
    <col min="29" max="29" width="10.109375" style="2" bestFit="1" customWidth="1"/>
    <col min="30" max="30" width="10" style="2" customWidth="1"/>
    <col min="31" max="31" width="22.33203125" style="2" bestFit="1" customWidth="1"/>
    <col min="32" max="32" width="22.21875" style="2" bestFit="1" customWidth="1"/>
    <col min="33" max="33" width="2.21875" style="13" customWidth="1"/>
    <col min="34" max="34" width="5.5546875" style="2" bestFit="1" customWidth="1"/>
    <col min="35" max="35" width="11.44140625" style="2" bestFit="1" customWidth="1"/>
    <col min="36" max="38" width="10.77734375" style="2" bestFit="1" customWidth="1"/>
    <col min="39" max="39" width="10.109375" style="2" bestFit="1" customWidth="1"/>
    <col min="40" max="40" width="10" style="2" customWidth="1"/>
    <col min="41" max="41" width="22.33203125" style="2" bestFit="1" customWidth="1"/>
    <col min="42" max="42" width="22.21875" style="2" bestFit="1" customWidth="1"/>
    <col min="43" max="43" width="2.21875" style="13" customWidth="1"/>
    <col min="44" max="44" width="8.33203125" style="2" bestFit="1" customWidth="1"/>
    <col min="45" max="45" width="11.44140625" style="2" bestFit="1" customWidth="1"/>
    <col min="46" max="48" width="10.77734375" style="2" bestFit="1" customWidth="1"/>
    <col min="49" max="49" width="10.109375" style="2" bestFit="1" customWidth="1"/>
    <col min="50" max="50" width="10" style="2" customWidth="1"/>
    <col min="51" max="51" width="22.33203125" style="2" bestFit="1" customWidth="1"/>
    <col min="52" max="52" width="22.21875" style="2" bestFit="1" customWidth="1"/>
    <col min="53" max="16384" width="8.88671875" style="12"/>
  </cols>
  <sheetData>
    <row r="1" spans="1:52" s="8" customFormat="1" ht="15" thickBot="1" x14ac:dyDescent="0.35">
      <c r="A1" s="5" t="s">
        <v>5</v>
      </c>
      <c r="B1" s="6" t="s">
        <v>6</v>
      </c>
      <c r="C1" s="7"/>
      <c r="D1" s="6" t="s">
        <v>48</v>
      </c>
      <c r="E1" s="6" t="s">
        <v>0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50</v>
      </c>
      <c r="K1" s="6" t="s">
        <v>7</v>
      </c>
      <c r="L1" s="6" t="s">
        <v>8</v>
      </c>
      <c r="M1" s="7"/>
      <c r="N1" s="6" t="s">
        <v>44</v>
      </c>
      <c r="O1" s="6" t="s">
        <v>0</v>
      </c>
      <c r="P1" s="6" t="s">
        <v>1</v>
      </c>
      <c r="Q1" s="6" t="s">
        <v>2</v>
      </c>
      <c r="R1" s="6" t="s">
        <v>3</v>
      </c>
      <c r="S1" s="6" t="s">
        <v>4</v>
      </c>
      <c r="T1" s="6" t="s">
        <v>50</v>
      </c>
      <c r="U1" s="6" t="s">
        <v>7</v>
      </c>
      <c r="V1" s="6" t="s">
        <v>8</v>
      </c>
      <c r="W1" s="7"/>
      <c r="X1" s="6" t="s">
        <v>45</v>
      </c>
      <c r="Y1" s="6" t="s">
        <v>0</v>
      </c>
      <c r="Z1" s="6" t="s">
        <v>1</v>
      </c>
      <c r="AA1" s="6" t="s">
        <v>2</v>
      </c>
      <c r="AB1" s="6" t="s">
        <v>3</v>
      </c>
      <c r="AC1" s="6" t="s">
        <v>4</v>
      </c>
      <c r="AD1" s="6" t="s">
        <v>50</v>
      </c>
      <c r="AE1" s="6" t="s">
        <v>7</v>
      </c>
      <c r="AF1" s="6" t="s">
        <v>8</v>
      </c>
      <c r="AG1" s="7"/>
      <c r="AH1" s="6" t="s">
        <v>47</v>
      </c>
      <c r="AI1" s="6" t="s">
        <v>0</v>
      </c>
      <c r="AJ1" s="6" t="s">
        <v>1</v>
      </c>
      <c r="AK1" s="6" t="s">
        <v>2</v>
      </c>
      <c r="AL1" s="6" t="s">
        <v>3</v>
      </c>
      <c r="AM1" s="6" t="s">
        <v>4</v>
      </c>
      <c r="AN1" s="6" t="s">
        <v>50</v>
      </c>
      <c r="AO1" s="6" t="s">
        <v>7</v>
      </c>
      <c r="AP1" s="6" t="s">
        <v>8</v>
      </c>
      <c r="AQ1" s="7"/>
      <c r="AR1" s="6" t="s">
        <v>46</v>
      </c>
      <c r="AS1" s="6" t="s">
        <v>0</v>
      </c>
      <c r="AT1" s="6" t="s">
        <v>1</v>
      </c>
      <c r="AU1" s="6" t="s">
        <v>2</v>
      </c>
      <c r="AV1" s="6" t="s">
        <v>3</v>
      </c>
      <c r="AW1" s="6" t="s">
        <v>4</v>
      </c>
      <c r="AX1" s="6" t="s">
        <v>50</v>
      </c>
      <c r="AY1" s="6" t="s">
        <v>7</v>
      </c>
      <c r="AZ1" s="6" t="s">
        <v>8</v>
      </c>
    </row>
    <row r="2" spans="1:52" s="10" customFormat="1" ht="15" thickBot="1" x14ac:dyDescent="0.35">
      <c r="A2" s="9" t="s">
        <v>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</row>
    <row r="3" spans="1:52" x14ac:dyDescent="0.3">
      <c r="A3" s="1" t="s">
        <v>10</v>
      </c>
      <c r="B3" s="1"/>
      <c r="C3" s="11"/>
      <c r="D3" s="1"/>
      <c r="E3" s="1">
        <v>61.85772</v>
      </c>
      <c r="F3" s="1">
        <v>0.95873169999999996</v>
      </c>
      <c r="G3" s="1">
        <v>63.386760000000002</v>
      </c>
      <c r="H3" s="1">
        <v>65.606300000000005</v>
      </c>
      <c r="I3" s="1">
        <v>0.9039741</v>
      </c>
      <c r="J3" s="1">
        <v>63.131349999999998</v>
      </c>
      <c r="K3" s="1">
        <f>B3-F3</f>
        <v>-0.95873169999999996</v>
      </c>
      <c r="L3" s="1">
        <v>0</v>
      </c>
      <c r="M3" s="11"/>
      <c r="N3" s="1"/>
      <c r="O3" s="1"/>
      <c r="P3" s="1"/>
      <c r="Q3" s="1"/>
      <c r="R3" s="1"/>
      <c r="S3" s="1"/>
      <c r="T3" s="1"/>
      <c r="U3" s="1">
        <f>$B$3-P3</f>
        <v>0</v>
      </c>
      <c r="V3" s="1">
        <f>$F$3-P3</f>
        <v>0.95873169999999996</v>
      </c>
      <c r="W3" s="11"/>
      <c r="X3" s="1"/>
      <c r="Y3" s="1"/>
      <c r="Z3" s="1"/>
      <c r="AA3" s="1"/>
      <c r="AB3" s="1"/>
      <c r="AC3" s="1"/>
      <c r="AD3" s="1"/>
      <c r="AE3" s="1">
        <f>$B$3-Z3</f>
        <v>0</v>
      </c>
      <c r="AF3" s="1">
        <f>$F$3-Z3</f>
        <v>0.95873169999999996</v>
      </c>
      <c r="AG3" s="11"/>
      <c r="AH3" s="1"/>
      <c r="AI3" s="1"/>
      <c r="AJ3" s="1"/>
      <c r="AK3" s="1"/>
      <c r="AL3" s="1"/>
      <c r="AM3" s="1"/>
      <c r="AN3" s="1"/>
      <c r="AO3" s="1">
        <f>$B$3-AJ3</f>
        <v>0</v>
      </c>
      <c r="AP3" s="1">
        <f>$F$3-AJ3</f>
        <v>0.95873169999999996</v>
      </c>
      <c r="AQ3" s="11"/>
      <c r="AR3" s="1"/>
      <c r="AS3" s="1"/>
      <c r="AT3" s="1"/>
      <c r="AU3" s="1"/>
      <c r="AV3" s="1"/>
      <c r="AW3" s="1"/>
      <c r="AX3" s="1"/>
      <c r="AY3" s="1">
        <f>$B$3-AT3</f>
        <v>0</v>
      </c>
      <c r="AZ3" s="1">
        <f>$F$3-AT3</f>
        <v>0.95873169999999996</v>
      </c>
    </row>
    <row r="4" spans="1:52" x14ac:dyDescent="0.3">
      <c r="A4" s="2" t="s">
        <v>11</v>
      </c>
      <c r="E4" s="2">
        <v>61.85772</v>
      </c>
      <c r="F4" s="2">
        <v>0.9585013</v>
      </c>
      <c r="G4" s="2">
        <v>64.385710000000003</v>
      </c>
      <c r="H4" s="2">
        <v>65.606300000000005</v>
      </c>
      <c r="I4" s="2">
        <v>0.90376920000000005</v>
      </c>
      <c r="J4" s="1">
        <v>64.130359999999996</v>
      </c>
      <c r="K4" s="1">
        <f t="shared" ref="K4:K29" si="0">B4-F4</f>
        <v>-0.9585013</v>
      </c>
      <c r="L4" s="1">
        <v>0</v>
      </c>
      <c r="T4" s="1"/>
      <c r="U4" s="1">
        <f>$B$3-P4</f>
        <v>0</v>
      </c>
      <c r="V4" s="1">
        <f t="shared" ref="V4:V30" si="1">$F$3-P4</f>
        <v>0.95873169999999996</v>
      </c>
      <c r="AD4" s="1"/>
      <c r="AE4" s="1">
        <f t="shared" ref="AE4:AE29" si="2">$B$3-Z4</f>
        <v>0</v>
      </c>
      <c r="AF4" s="1">
        <f t="shared" ref="AF4:AF29" si="3">$F$3-Z4</f>
        <v>0.95873169999999996</v>
      </c>
      <c r="AO4" s="1">
        <f t="shared" ref="AO4:AO29" si="4">$B$3-AJ4</f>
        <v>0</v>
      </c>
      <c r="AP4" s="1">
        <f t="shared" ref="AP4:AP29" si="5">$F$3-AJ4</f>
        <v>0.95873169999999996</v>
      </c>
      <c r="AX4" s="1"/>
      <c r="AY4" s="1">
        <f t="shared" ref="AY4:AY29" si="6">$B$3-AT4</f>
        <v>0</v>
      </c>
      <c r="AZ4" s="1">
        <f t="shared" ref="AZ4:AZ29" si="7">$F$3-AT4</f>
        <v>0.95873169999999996</v>
      </c>
    </row>
    <row r="5" spans="1:52" x14ac:dyDescent="0.3">
      <c r="A5" s="2" t="s">
        <v>12</v>
      </c>
      <c r="E5" s="2">
        <v>61.85772</v>
      </c>
      <c r="F5" s="2">
        <v>0.95813230000000005</v>
      </c>
      <c r="G5" s="2">
        <v>65.384050000000002</v>
      </c>
      <c r="H5" s="2">
        <v>65.606300000000005</v>
      </c>
      <c r="I5" s="2">
        <v>0.9034411</v>
      </c>
      <c r="J5" s="1">
        <v>65.128780000000006</v>
      </c>
      <c r="K5" s="1">
        <f t="shared" si="0"/>
        <v>-0.95813230000000005</v>
      </c>
      <c r="L5" s="1">
        <v>0</v>
      </c>
      <c r="T5" s="1"/>
      <c r="U5" s="1">
        <f>$B$3-P5</f>
        <v>0</v>
      </c>
      <c r="V5" s="1">
        <f t="shared" si="1"/>
        <v>0.95873169999999996</v>
      </c>
      <c r="AD5" s="1"/>
      <c r="AE5" s="1">
        <f t="shared" si="2"/>
        <v>0</v>
      </c>
      <c r="AF5" s="1">
        <f t="shared" si="3"/>
        <v>0.95873169999999996</v>
      </c>
      <c r="AO5" s="1">
        <f t="shared" si="4"/>
        <v>0</v>
      </c>
      <c r="AP5" s="1">
        <f t="shared" si="5"/>
        <v>0.95873169999999996</v>
      </c>
      <c r="AX5" s="1"/>
      <c r="AY5" s="1">
        <f t="shared" si="6"/>
        <v>0</v>
      </c>
      <c r="AZ5" s="1">
        <f t="shared" si="7"/>
        <v>0.95873169999999996</v>
      </c>
    </row>
    <row r="6" spans="1:52" x14ac:dyDescent="0.3">
      <c r="A6" s="2" t="s">
        <v>15</v>
      </c>
      <c r="E6" s="2">
        <v>61.885559999999998</v>
      </c>
      <c r="F6" s="2">
        <v>0.95718210000000004</v>
      </c>
      <c r="G6" s="2">
        <v>66.379739999999998</v>
      </c>
      <c r="H6" s="2">
        <v>65.637690000000006</v>
      </c>
      <c r="I6" s="2">
        <v>0.90254749999999995</v>
      </c>
      <c r="J6" s="1">
        <v>66.124489999999994</v>
      </c>
      <c r="K6" s="1">
        <f t="shared" si="0"/>
        <v>-0.95718210000000004</v>
      </c>
      <c r="L6" s="1">
        <v>0</v>
      </c>
      <c r="T6" s="1"/>
      <c r="U6" s="1">
        <f>$B$3-P6</f>
        <v>0</v>
      </c>
      <c r="V6" s="1">
        <f t="shared" si="1"/>
        <v>0.95873169999999996</v>
      </c>
      <c r="AD6" s="1"/>
      <c r="AE6" s="1">
        <f t="shared" si="2"/>
        <v>0</v>
      </c>
      <c r="AF6" s="1">
        <f t="shared" si="3"/>
        <v>0.95873169999999996</v>
      </c>
      <c r="AO6" s="1">
        <f t="shared" si="4"/>
        <v>0</v>
      </c>
      <c r="AP6" s="1">
        <f t="shared" si="5"/>
        <v>0.95873169999999996</v>
      </c>
      <c r="AX6" s="1"/>
      <c r="AY6" s="1">
        <f t="shared" si="6"/>
        <v>0</v>
      </c>
      <c r="AZ6" s="1">
        <f t="shared" si="7"/>
        <v>0.95873169999999996</v>
      </c>
    </row>
    <row r="7" spans="1:52" x14ac:dyDescent="0.3">
      <c r="A7" s="2" t="s">
        <v>16</v>
      </c>
      <c r="E7" s="2">
        <v>61.885559999999998</v>
      </c>
      <c r="F7" s="2">
        <v>0.95642720000000003</v>
      </c>
      <c r="G7" s="2">
        <v>67.376310000000004</v>
      </c>
      <c r="H7" s="2">
        <v>65.637690000000006</v>
      </c>
      <c r="I7" s="2">
        <v>0.90187629999999996</v>
      </c>
      <c r="J7" s="1">
        <v>67.121260000000007</v>
      </c>
      <c r="K7" s="1">
        <f t="shared" si="0"/>
        <v>-0.95642720000000003</v>
      </c>
      <c r="L7" s="1">
        <v>0</v>
      </c>
      <c r="T7" s="1"/>
      <c r="U7" s="1">
        <f>$B$3-P7</f>
        <v>0</v>
      </c>
      <c r="V7" s="1">
        <f t="shared" si="1"/>
        <v>0.95873169999999996</v>
      </c>
      <c r="AD7" s="1"/>
      <c r="AE7" s="1">
        <f t="shared" si="2"/>
        <v>0</v>
      </c>
      <c r="AF7" s="1">
        <f t="shared" si="3"/>
        <v>0.95873169999999996</v>
      </c>
      <c r="AO7" s="1">
        <f t="shared" si="4"/>
        <v>0</v>
      </c>
      <c r="AP7" s="1">
        <f t="shared" si="5"/>
        <v>0.95873169999999996</v>
      </c>
      <c r="AX7" s="1"/>
      <c r="AY7" s="1">
        <f t="shared" si="6"/>
        <v>0</v>
      </c>
      <c r="AZ7" s="1">
        <f t="shared" si="7"/>
        <v>0.95873169999999996</v>
      </c>
    </row>
    <row r="8" spans="1:52" x14ac:dyDescent="0.3">
      <c r="A8" s="2" t="s">
        <v>25</v>
      </c>
      <c r="E8" s="2">
        <v>61.885559999999998</v>
      </c>
      <c r="F8" s="2">
        <v>0.9552349</v>
      </c>
      <c r="G8" s="2">
        <v>68.370890000000003</v>
      </c>
      <c r="H8" s="2">
        <v>65.637690000000006</v>
      </c>
      <c r="I8" s="2">
        <v>0.90081610000000001</v>
      </c>
      <c r="J8" s="1">
        <v>68.116150000000005</v>
      </c>
      <c r="K8" s="1">
        <f t="shared" si="0"/>
        <v>-0.9552349</v>
      </c>
      <c r="L8" s="1">
        <v>0</v>
      </c>
      <c r="T8" s="1"/>
      <c r="U8" s="1">
        <f>$B$3-P8</f>
        <v>0</v>
      </c>
      <c r="V8" s="1">
        <f t="shared" si="1"/>
        <v>0.95873169999999996</v>
      </c>
      <c r="AD8" s="1"/>
      <c r="AE8" s="1">
        <f t="shared" si="2"/>
        <v>0</v>
      </c>
      <c r="AF8" s="1">
        <f t="shared" si="3"/>
        <v>0.95873169999999996</v>
      </c>
      <c r="AO8" s="1">
        <f t="shared" si="4"/>
        <v>0</v>
      </c>
      <c r="AP8" s="1">
        <f t="shared" si="5"/>
        <v>0.95873169999999996</v>
      </c>
      <c r="AX8" s="1"/>
      <c r="AY8" s="1">
        <f t="shared" si="6"/>
        <v>0</v>
      </c>
      <c r="AZ8" s="1">
        <f t="shared" si="7"/>
        <v>0.95873169999999996</v>
      </c>
    </row>
    <row r="9" spans="1:52" x14ac:dyDescent="0.3">
      <c r="A9" s="2" t="s">
        <v>17</v>
      </c>
      <c r="E9" s="2">
        <v>64.886200000000002</v>
      </c>
      <c r="F9" s="2">
        <v>0.90988639999999998</v>
      </c>
      <c r="G9" s="2">
        <v>69.159670000000006</v>
      </c>
      <c r="H9" s="2">
        <v>69.02704</v>
      </c>
      <c r="I9" s="2">
        <v>0.85555530000000002</v>
      </c>
      <c r="J9" s="1">
        <v>68.892269999999996</v>
      </c>
      <c r="K9" s="1">
        <f t="shared" si="0"/>
        <v>-0.90988639999999998</v>
      </c>
      <c r="L9" s="1">
        <v>0</v>
      </c>
      <c r="T9" s="1"/>
      <c r="U9" s="1">
        <f>$B$3-P9</f>
        <v>0</v>
      </c>
      <c r="V9" s="1">
        <f t="shared" si="1"/>
        <v>0.95873169999999996</v>
      </c>
      <c r="AD9" s="1"/>
      <c r="AE9" s="1">
        <f t="shared" si="2"/>
        <v>0</v>
      </c>
      <c r="AF9" s="1">
        <f t="shared" si="3"/>
        <v>0.95873169999999996</v>
      </c>
      <c r="AO9" s="1">
        <f t="shared" si="4"/>
        <v>0</v>
      </c>
      <c r="AP9" s="1">
        <f t="shared" si="5"/>
        <v>0.95873169999999996</v>
      </c>
      <c r="AX9" s="1"/>
      <c r="AY9" s="1">
        <f t="shared" si="6"/>
        <v>0</v>
      </c>
      <c r="AZ9" s="1">
        <f t="shared" si="7"/>
        <v>0.95873169999999996</v>
      </c>
    </row>
    <row r="10" spans="1:52" x14ac:dyDescent="0.3">
      <c r="A10" s="2" t="s">
        <v>18</v>
      </c>
      <c r="E10" s="2">
        <v>64.886200000000002</v>
      </c>
      <c r="F10" s="2">
        <v>0.90822449999999999</v>
      </c>
      <c r="G10" s="2">
        <v>70.151719999999997</v>
      </c>
      <c r="H10" s="2">
        <v>69.02704</v>
      </c>
      <c r="I10" s="2">
        <v>0.85408569999999995</v>
      </c>
      <c r="J10" s="1">
        <v>69.884799999999998</v>
      </c>
      <c r="K10" s="1">
        <f t="shared" si="0"/>
        <v>-0.90822449999999999</v>
      </c>
      <c r="L10" s="1">
        <v>0</v>
      </c>
      <c r="T10" s="1"/>
      <c r="U10" s="1">
        <f>$B$3-P10</f>
        <v>0</v>
      </c>
      <c r="V10" s="1">
        <f t="shared" si="1"/>
        <v>0.95873169999999996</v>
      </c>
      <c r="AD10" s="1"/>
      <c r="AE10" s="1">
        <f t="shared" si="2"/>
        <v>0</v>
      </c>
      <c r="AF10" s="1">
        <f t="shared" si="3"/>
        <v>0.95873169999999996</v>
      </c>
      <c r="AO10" s="1">
        <f t="shared" si="4"/>
        <v>0</v>
      </c>
      <c r="AP10" s="1">
        <f t="shared" si="5"/>
        <v>0.95873169999999996</v>
      </c>
      <c r="AX10" s="1"/>
      <c r="AY10" s="1">
        <f t="shared" si="6"/>
        <v>0</v>
      </c>
      <c r="AZ10" s="1">
        <f t="shared" si="7"/>
        <v>0.95873169999999996</v>
      </c>
    </row>
    <row r="11" spans="1:52" x14ac:dyDescent="0.3">
      <c r="A11" s="2" t="s">
        <v>19</v>
      </c>
      <c r="E11" s="2">
        <v>64.886200000000002</v>
      </c>
      <c r="F11" s="2">
        <v>0.90620670000000003</v>
      </c>
      <c r="G11" s="2">
        <v>71.142060000000001</v>
      </c>
      <c r="H11" s="2">
        <v>69.02704</v>
      </c>
      <c r="I11" s="2">
        <v>0.85230110000000003</v>
      </c>
      <c r="J11" s="1">
        <v>70.875720000000001</v>
      </c>
      <c r="K11" s="1">
        <f t="shared" si="0"/>
        <v>-0.90620670000000003</v>
      </c>
      <c r="L11" s="1">
        <v>0</v>
      </c>
      <c r="T11" s="1"/>
      <c r="U11" s="1">
        <f>$B$3-P11</f>
        <v>0</v>
      </c>
      <c r="V11" s="1">
        <f t="shared" si="1"/>
        <v>0.95873169999999996</v>
      </c>
      <c r="AD11" s="1"/>
      <c r="AE11" s="1">
        <f t="shared" si="2"/>
        <v>0</v>
      </c>
      <c r="AF11" s="1">
        <f t="shared" si="3"/>
        <v>0.95873169999999996</v>
      </c>
      <c r="AO11" s="1">
        <f t="shared" si="4"/>
        <v>0</v>
      </c>
      <c r="AP11" s="1">
        <f t="shared" si="5"/>
        <v>0.95873169999999996</v>
      </c>
      <c r="AX11" s="1"/>
      <c r="AY11" s="1">
        <f t="shared" si="6"/>
        <v>0</v>
      </c>
      <c r="AZ11" s="1">
        <f t="shared" si="7"/>
        <v>0.95873169999999996</v>
      </c>
    </row>
    <row r="12" spans="1:52" x14ac:dyDescent="0.3">
      <c r="A12" s="2" t="s">
        <v>20</v>
      </c>
      <c r="E12" s="2">
        <v>103.3588</v>
      </c>
      <c r="F12" s="2">
        <v>0.56988159999999999</v>
      </c>
      <c r="G12" s="2">
        <v>70.127629999999996</v>
      </c>
      <c r="H12" s="2">
        <v>114.4448</v>
      </c>
      <c r="I12" s="2">
        <v>0.51503829999999995</v>
      </c>
      <c r="J12" s="1">
        <v>69.688180000000003</v>
      </c>
      <c r="K12" s="1">
        <f t="shared" si="0"/>
        <v>-0.56988159999999999</v>
      </c>
      <c r="L12" s="1">
        <v>0</v>
      </c>
      <c r="T12" s="1"/>
      <c r="U12" s="1">
        <f>$B$3-P12</f>
        <v>0</v>
      </c>
      <c r="V12" s="1">
        <f t="shared" si="1"/>
        <v>0.95873169999999996</v>
      </c>
      <c r="AD12" s="1"/>
      <c r="AE12" s="1">
        <f t="shared" si="2"/>
        <v>0</v>
      </c>
      <c r="AF12" s="1">
        <f t="shared" si="3"/>
        <v>0.95873169999999996</v>
      </c>
      <c r="AO12" s="1">
        <f t="shared" si="4"/>
        <v>0</v>
      </c>
      <c r="AP12" s="1">
        <f t="shared" si="5"/>
        <v>0.95873169999999996</v>
      </c>
      <c r="AX12" s="1"/>
      <c r="AY12" s="1">
        <f t="shared" si="6"/>
        <v>0</v>
      </c>
      <c r="AZ12" s="1">
        <f t="shared" si="7"/>
        <v>0.95873169999999996</v>
      </c>
    </row>
    <row r="13" spans="1:52" x14ac:dyDescent="0.3">
      <c r="A13" s="2" t="s">
        <v>21</v>
      </c>
      <c r="E13" s="2">
        <v>103.3588</v>
      </c>
      <c r="F13" s="2">
        <v>0.56898510000000002</v>
      </c>
      <c r="G13" s="2">
        <v>71.120800000000003</v>
      </c>
      <c r="H13" s="2">
        <v>114.4448</v>
      </c>
      <c r="I13" s="2">
        <v>0.51430589999999998</v>
      </c>
      <c r="J13" s="1">
        <v>70.682010000000005</v>
      </c>
      <c r="K13" s="1">
        <f t="shared" si="0"/>
        <v>-0.56898510000000002</v>
      </c>
      <c r="L13" s="1">
        <v>0</v>
      </c>
      <c r="T13" s="1"/>
      <c r="U13" s="1">
        <f>$B$3-P13</f>
        <v>0</v>
      </c>
      <c r="V13" s="1">
        <f t="shared" si="1"/>
        <v>0.95873169999999996</v>
      </c>
      <c r="AD13" s="1"/>
      <c r="AE13" s="1">
        <f t="shared" si="2"/>
        <v>0</v>
      </c>
      <c r="AF13" s="1">
        <f t="shared" si="3"/>
        <v>0.95873169999999996</v>
      </c>
      <c r="AO13" s="1">
        <f t="shared" si="4"/>
        <v>0</v>
      </c>
      <c r="AP13" s="1">
        <f t="shared" si="5"/>
        <v>0.95873169999999996</v>
      </c>
      <c r="AX13" s="1"/>
      <c r="AY13" s="1">
        <f t="shared" si="6"/>
        <v>0</v>
      </c>
      <c r="AZ13" s="1">
        <f t="shared" si="7"/>
        <v>0.95873169999999996</v>
      </c>
    </row>
    <row r="14" spans="1:52" x14ac:dyDescent="0.3">
      <c r="A14" s="2" t="s">
        <v>22</v>
      </c>
      <c r="E14" s="2">
        <v>103.3588</v>
      </c>
      <c r="F14" s="2">
        <v>0.56799940000000004</v>
      </c>
      <c r="G14" s="2">
        <v>72.11327</v>
      </c>
      <c r="H14" s="2">
        <v>114.4448</v>
      </c>
      <c r="I14" s="2">
        <v>0.51350050000000003</v>
      </c>
      <c r="J14" s="1">
        <v>71.675200000000004</v>
      </c>
      <c r="K14" s="1">
        <f t="shared" si="0"/>
        <v>-0.56799940000000004</v>
      </c>
      <c r="L14" s="1">
        <v>0</v>
      </c>
      <c r="T14" s="1"/>
      <c r="U14" s="1">
        <f>$B$3-P14</f>
        <v>0</v>
      </c>
      <c r="V14" s="1">
        <f t="shared" si="1"/>
        <v>0.95873169999999996</v>
      </c>
      <c r="AD14" s="1"/>
      <c r="AE14" s="1">
        <f t="shared" si="2"/>
        <v>0</v>
      </c>
      <c r="AF14" s="1">
        <f t="shared" si="3"/>
        <v>0.95873169999999996</v>
      </c>
      <c r="AO14" s="1">
        <f t="shared" si="4"/>
        <v>0</v>
      </c>
      <c r="AP14" s="1">
        <f t="shared" si="5"/>
        <v>0.95873169999999996</v>
      </c>
      <c r="AX14" s="1"/>
      <c r="AY14" s="1">
        <f t="shared" si="6"/>
        <v>0</v>
      </c>
      <c r="AZ14" s="1">
        <f t="shared" si="7"/>
        <v>0.95873169999999996</v>
      </c>
    </row>
    <row r="15" spans="1:52" x14ac:dyDescent="0.3">
      <c r="A15" s="2" t="s">
        <v>23</v>
      </c>
      <c r="E15" s="2">
        <v>86.461920000000006</v>
      </c>
      <c r="F15" s="2">
        <v>0.67595740000000004</v>
      </c>
      <c r="G15" s="2">
        <v>73.868979999999993</v>
      </c>
      <c r="H15" s="2">
        <v>94.035790000000006</v>
      </c>
      <c r="I15" s="2">
        <v>0.62226210000000004</v>
      </c>
      <c r="J15" s="1">
        <v>73.509519999999995</v>
      </c>
      <c r="K15" s="1">
        <f t="shared" si="0"/>
        <v>-0.67595740000000004</v>
      </c>
      <c r="L15" s="1">
        <v>0</v>
      </c>
      <c r="T15" s="1"/>
      <c r="U15" s="1">
        <f>$B$3-P15</f>
        <v>0</v>
      </c>
      <c r="V15" s="1">
        <f t="shared" si="1"/>
        <v>0.95873169999999996</v>
      </c>
      <c r="AD15" s="1"/>
      <c r="AE15" s="1">
        <f t="shared" si="2"/>
        <v>0</v>
      </c>
      <c r="AF15" s="1">
        <f t="shared" si="3"/>
        <v>0.95873169999999996</v>
      </c>
      <c r="AO15" s="1">
        <f t="shared" si="4"/>
        <v>0</v>
      </c>
      <c r="AP15" s="1">
        <f t="shared" si="5"/>
        <v>0.95873169999999996</v>
      </c>
      <c r="AX15" s="1"/>
      <c r="AY15" s="1">
        <f t="shared" si="6"/>
        <v>0</v>
      </c>
      <c r="AZ15" s="1">
        <f t="shared" si="7"/>
        <v>0.95873169999999996</v>
      </c>
    </row>
    <row r="16" spans="1:52" x14ac:dyDescent="0.3">
      <c r="A16" s="2" t="s">
        <v>13</v>
      </c>
      <c r="E16" s="2">
        <v>86.461920000000006</v>
      </c>
      <c r="F16" s="2">
        <v>0.6740062</v>
      </c>
      <c r="G16" s="2">
        <v>74.856430000000003</v>
      </c>
      <c r="H16" s="2">
        <v>94.035790000000006</v>
      </c>
      <c r="I16" s="2">
        <v>0.6206083</v>
      </c>
      <c r="J16" s="1">
        <v>74.497969999999995</v>
      </c>
      <c r="K16" s="1">
        <f t="shared" si="0"/>
        <v>-0.6740062</v>
      </c>
      <c r="L16" s="1">
        <v>0</v>
      </c>
      <c r="T16" s="1"/>
      <c r="U16" s="1">
        <f>$B$3-P16</f>
        <v>0</v>
      </c>
      <c r="V16" s="1">
        <f t="shared" si="1"/>
        <v>0.95873169999999996</v>
      </c>
      <c r="AD16" s="1"/>
      <c r="AE16" s="1">
        <f t="shared" si="2"/>
        <v>0</v>
      </c>
      <c r="AF16" s="1">
        <f t="shared" si="3"/>
        <v>0.95873169999999996</v>
      </c>
      <c r="AO16" s="1">
        <f t="shared" si="4"/>
        <v>0</v>
      </c>
      <c r="AP16" s="1">
        <f t="shared" si="5"/>
        <v>0.95873169999999996</v>
      </c>
      <c r="AX16" s="1"/>
      <c r="AY16" s="1">
        <f t="shared" si="6"/>
        <v>0</v>
      </c>
      <c r="AZ16" s="1">
        <f t="shared" si="7"/>
        <v>0.95873169999999996</v>
      </c>
    </row>
    <row r="17" spans="1:52" x14ac:dyDescent="0.3">
      <c r="A17" s="2" t="s">
        <v>14</v>
      </c>
      <c r="E17" s="2">
        <v>86.461920000000006</v>
      </c>
      <c r="F17" s="2">
        <v>0.67132919999999996</v>
      </c>
      <c r="G17" s="2">
        <v>75.83914</v>
      </c>
      <c r="H17" s="2">
        <v>94.035790000000006</v>
      </c>
      <c r="I17" s="2">
        <v>0.6183379</v>
      </c>
      <c r="J17" s="1">
        <v>75.482039999999998</v>
      </c>
      <c r="K17" s="1">
        <f t="shared" si="0"/>
        <v>-0.67132919999999996</v>
      </c>
      <c r="L17" s="1">
        <v>0</v>
      </c>
      <c r="T17" s="1"/>
      <c r="U17" s="1">
        <f>$B$3-P17</f>
        <v>0</v>
      </c>
      <c r="V17" s="1">
        <f t="shared" si="1"/>
        <v>0.95873169999999996</v>
      </c>
      <c r="AD17" s="1"/>
      <c r="AE17" s="1">
        <f t="shared" si="2"/>
        <v>0</v>
      </c>
      <c r="AF17" s="1">
        <f t="shared" si="3"/>
        <v>0.95873169999999996</v>
      </c>
      <c r="AO17" s="1">
        <f t="shared" si="4"/>
        <v>0</v>
      </c>
      <c r="AP17" s="1">
        <f t="shared" si="5"/>
        <v>0.95873169999999996</v>
      </c>
      <c r="AX17" s="1"/>
      <c r="AY17" s="1">
        <f t="shared" si="6"/>
        <v>0</v>
      </c>
      <c r="AZ17" s="1">
        <f t="shared" si="7"/>
        <v>0.95873169999999996</v>
      </c>
    </row>
    <row r="18" spans="1:52" x14ac:dyDescent="0.3">
      <c r="A18" s="2" t="s">
        <v>26</v>
      </c>
      <c r="E18" s="2">
        <v>88.237780000000001</v>
      </c>
      <c r="F18" s="2">
        <v>0.65387490000000004</v>
      </c>
      <c r="G18" s="2">
        <v>76.724729999999994</v>
      </c>
      <c r="H18" s="2">
        <v>96.144990000000007</v>
      </c>
      <c r="I18" s="2">
        <v>0.60146060000000001</v>
      </c>
      <c r="J18" s="1">
        <v>76.361859999999993</v>
      </c>
      <c r="K18" s="1">
        <f t="shared" si="0"/>
        <v>-0.65387490000000004</v>
      </c>
      <c r="L18" s="1">
        <v>0</v>
      </c>
      <c r="T18" s="1"/>
      <c r="U18" s="1">
        <f>$B$3-P18</f>
        <v>0</v>
      </c>
      <c r="V18" s="1">
        <f t="shared" si="1"/>
        <v>0.95873169999999996</v>
      </c>
      <c r="AD18" s="1"/>
      <c r="AE18" s="1">
        <f t="shared" si="2"/>
        <v>0</v>
      </c>
      <c r="AF18" s="1">
        <f t="shared" si="3"/>
        <v>0.95873169999999996</v>
      </c>
      <c r="AO18" s="1">
        <f t="shared" si="4"/>
        <v>0</v>
      </c>
      <c r="AP18" s="1">
        <f t="shared" si="5"/>
        <v>0.95873169999999996</v>
      </c>
      <c r="AX18" s="1"/>
      <c r="AY18" s="1">
        <f t="shared" si="6"/>
        <v>0</v>
      </c>
      <c r="AZ18" s="1">
        <f t="shared" si="7"/>
        <v>0.95873169999999996</v>
      </c>
    </row>
    <row r="19" spans="1:52" x14ac:dyDescent="0.3">
      <c r="A19" s="2" t="s">
        <v>24</v>
      </c>
      <c r="E19" s="2">
        <v>88.237780000000001</v>
      </c>
      <c r="F19" s="2">
        <v>0.64803949999999999</v>
      </c>
      <c r="G19" s="2">
        <v>77.685810000000004</v>
      </c>
      <c r="H19" s="2">
        <v>96.144990000000007</v>
      </c>
      <c r="I19" s="2">
        <v>0.59651960000000004</v>
      </c>
      <c r="J19" s="1">
        <v>77.326040000000006</v>
      </c>
      <c r="K19" s="1">
        <f t="shared" si="0"/>
        <v>-0.64803949999999999</v>
      </c>
      <c r="L19" s="1">
        <v>0</v>
      </c>
      <c r="T19" s="1"/>
      <c r="U19" s="1">
        <f>$B$3-P19</f>
        <v>0</v>
      </c>
      <c r="V19" s="1">
        <f t="shared" si="1"/>
        <v>0.95873169999999996</v>
      </c>
      <c r="AD19" s="1"/>
      <c r="AE19" s="1">
        <f t="shared" si="2"/>
        <v>0</v>
      </c>
      <c r="AF19" s="1">
        <f t="shared" si="3"/>
        <v>0.95873169999999996</v>
      </c>
      <c r="AO19" s="1">
        <f t="shared" si="4"/>
        <v>0</v>
      </c>
      <c r="AP19" s="1">
        <f t="shared" si="5"/>
        <v>0.95873169999999996</v>
      </c>
      <c r="AX19" s="1"/>
      <c r="AY19" s="1">
        <f t="shared" si="6"/>
        <v>0</v>
      </c>
      <c r="AZ19" s="1">
        <f t="shared" si="7"/>
        <v>0.95873169999999996</v>
      </c>
    </row>
    <row r="20" spans="1:52" x14ac:dyDescent="0.3">
      <c r="A20" s="2" t="s">
        <v>27</v>
      </c>
      <c r="E20" s="2">
        <v>88.237780000000001</v>
      </c>
      <c r="F20" s="2">
        <v>0.6392506</v>
      </c>
      <c r="G20" s="2">
        <v>78.626499999999993</v>
      </c>
      <c r="H20" s="2">
        <v>96.144990000000007</v>
      </c>
      <c r="I20" s="2">
        <v>0.58906460000000005</v>
      </c>
      <c r="J20" s="1">
        <v>78.271420000000006</v>
      </c>
      <c r="K20" s="1">
        <f t="shared" si="0"/>
        <v>-0.6392506</v>
      </c>
      <c r="L20" s="1">
        <v>0</v>
      </c>
      <c r="T20" s="1"/>
      <c r="U20" s="1">
        <f>$B$3-P20</f>
        <v>0</v>
      </c>
      <c r="V20" s="1">
        <f t="shared" si="1"/>
        <v>0.95873169999999996</v>
      </c>
      <c r="AD20" s="1"/>
      <c r="AE20" s="1">
        <f t="shared" si="2"/>
        <v>0</v>
      </c>
      <c r="AF20" s="1">
        <f t="shared" si="3"/>
        <v>0.95873169999999996</v>
      </c>
      <c r="AO20" s="1">
        <f t="shared" si="4"/>
        <v>0</v>
      </c>
      <c r="AP20" s="1">
        <f t="shared" si="5"/>
        <v>0.95873169999999996</v>
      </c>
      <c r="AX20" s="1"/>
      <c r="AY20" s="1">
        <f t="shared" si="6"/>
        <v>0</v>
      </c>
      <c r="AZ20" s="1">
        <f t="shared" si="7"/>
        <v>0.95873169999999996</v>
      </c>
    </row>
    <row r="21" spans="1:52" x14ac:dyDescent="0.3">
      <c r="A21" s="2" t="s">
        <v>28</v>
      </c>
      <c r="E21" s="2">
        <v>79.525700000000001</v>
      </c>
      <c r="F21" s="2">
        <v>0.68879900000000005</v>
      </c>
      <c r="G21" s="2">
        <v>79.950710000000001</v>
      </c>
      <c r="H21" s="2">
        <v>85.870249999999999</v>
      </c>
      <c r="I21" s="2">
        <v>0.64154420000000001</v>
      </c>
      <c r="J21" s="1">
        <v>79.642060000000001</v>
      </c>
      <c r="K21" s="1">
        <f t="shared" si="0"/>
        <v>-0.68879900000000005</v>
      </c>
      <c r="L21" s="1">
        <v>0</v>
      </c>
      <c r="T21" s="1"/>
      <c r="U21" s="1">
        <f>$B$3-P21</f>
        <v>0</v>
      </c>
      <c r="V21" s="1">
        <f t="shared" si="1"/>
        <v>0.95873169999999996</v>
      </c>
      <c r="AD21" s="1"/>
      <c r="AE21" s="1">
        <f t="shared" si="2"/>
        <v>0</v>
      </c>
      <c r="AF21" s="1">
        <f t="shared" si="3"/>
        <v>0.95873169999999996</v>
      </c>
      <c r="AO21" s="1">
        <f t="shared" si="4"/>
        <v>0</v>
      </c>
      <c r="AP21" s="1">
        <f t="shared" si="5"/>
        <v>0.95873169999999996</v>
      </c>
      <c r="AX21" s="1"/>
      <c r="AY21" s="1">
        <f t="shared" si="6"/>
        <v>0</v>
      </c>
      <c r="AZ21" s="1">
        <f t="shared" si="7"/>
        <v>0.95873169999999996</v>
      </c>
    </row>
    <row r="22" spans="1:52" x14ac:dyDescent="0.3">
      <c r="A22" s="2" t="s">
        <v>29</v>
      </c>
      <c r="E22" s="2">
        <v>79.525700000000001</v>
      </c>
      <c r="F22" s="2">
        <v>0.66309839999999998</v>
      </c>
      <c r="G22" s="2">
        <v>80.785570000000007</v>
      </c>
      <c r="H22" s="2">
        <v>85.870249999999999</v>
      </c>
      <c r="I22" s="2">
        <v>0.61919179999999996</v>
      </c>
      <c r="J22" s="1">
        <v>80.488039999999998</v>
      </c>
      <c r="K22" s="1">
        <f t="shared" si="0"/>
        <v>-0.66309839999999998</v>
      </c>
      <c r="L22" s="1">
        <v>0</v>
      </c>
      <c r="T22" s="1"/>
      <c r="U22" s="1">
        <f>$B$3-P22</f>
        <v>0</v>
      </c>
      <c r="V22" s="1">
        <f t="shared" si="1"/>
        <v>0.95873169999999996</v>
      </c>
      <c r="AD22" s="1"/>
      <c r="AE22" s="1">
        <f t="shared" si="2"/>
        <v>0</v>
      </c>
      <c r="AF22" s="1">
        <f t="shared" si="3"/>
        <v>0.95873169999999996</v>
      </c>
      <c r="AO22" s="1">
        <f t="shared" si="4"/>
        <v>0</v>
      </c>
      <c r="AP22" s="1">
        <f t="shared" si="5"/>
        <v>0.95873169999999996</v>
      </c>
      <c r="AX22" s="1"/>
      <c r="AY22" s="1">
        <f t="shared" si="6"/>
        <v>0</v>
      </c>
      <c r="AZ22" s="1">
        <f t="shared" si="7"/>
        <v>0.95873169999999996</v>
      </c>
    </row>
    <row r="23" spans="1:52" x14ac:dyDescent="0.3">
      <c r="A23" s="2" t="s">
        <v>30</v>
      </c>
      <c r="E23" s="2">
        <v>79.525700000000001</v>
      </c>
      <c r="F23" s="2">
        <v>0.62875460000000005</v>
      </c>
      <c r="G23" s="2">
        <v>81.554599999999994</v>
      </c>
      <c r="H23" s="2">
        <v>85.870249999999999</v>
      </c>
      <c r="I23" s="2">
        <v>0.58914239999999996</v>
      </c>
      <c r="J23" s="1">
        <v>81.271990000000002</v>
      </c>
      <c r="K23" s="1">
        <f t="shared" si="0"/>
        <v>-0.62875460000000005</v>
      </c>
      <c r="L23" s="1">
        <v>0</v>
      </c>
      <c r="T23" s="1"/>
      <c r="U23" s="1">
        <f>$B$3-P23</f>
        <v>0</v>
      </c>
      <c r="V23" s="1">
        <f t="shared" si="1"/>
        <v>0.95873169999999996</v>
      </c>
      <c r="AD23" s="1"/>
      <c r="AE23" s="1">
        <f t="shared" si="2"/>
        <v>0</v>
      </c>
      <c r="AF23" s="1">
        <f t="shared" si="3"/>
        <v>0.95873169999999996</v>
      </c>
      <c r="AO23" s="1">
        <f t="shared" si="4"/>
        <v>0</v>
      </c>
      <c r="AP23" s="1">
        <f t="shared" si="5"/>
        <v>0.95873169999999996</v>
      </c>
      <c r="AX23" s="1"/>
      <c r="AY23" s="1">
        <f t="shared" si="6"/>
        <v>0</v>
      </c>
      <c r="AZ23" s="1">
        <f t="shared" si="7"/>
        <v>0.95873169999999996</v>
      </c>
    </row>
    <row r="24" spans="1:52" x14ac:dyDescent="0.3">
      <c r="A24" s="2" t="s">
        <v>31</v>
      </c>
      <c r="E24" s="2">
        <v>79.52431</v>
      </c>
      <c r="F24" s="2">
        <v>0.58051359999999996</v>
      </c>
      <c r="G24" s="2">
        <v>82.207920000000001</v>
      </c>
      <c r="H24" s="2">
        <v>85.868639999999999</v>
      </c>
      <c r="I24" s="2">
        <v>0.54658390000000001</v>
      </c>
      <c r="J24" s="1">
        <v>81.946370000000002</v>
      </c>
      <c r="K24" s="1">
        <f t="shared" si="0"/>
        <v>-0.58051359999999996</v>
      </c>
      <c r="L24" s="1">
        <v>0</v>
      </c>
      <c r="T24" s="1"/>
      <c r="U24" s="1">
        <f>$B$3-P24</f>
        <v>0</v>
      </c>
      <c r="V24" s="1">
        <f t="shared" si="1"/>
        <v>0.95873169999999996</v>
      </c>
      <c r="AD24" s="1"/>
      <c r="AE24" s="1">
        <f t="shared" si="2"/>
        <v>0</v>
      </c>
      <c r="AF24" s="1">
        <f t="shared" si="3"/>
        <v>0.95873169999999996</v>
      </c>
      <c r="AO24" s="1">
        <f t="shared" si="4"/>
        <v>0</v>
      </c>
      <c r="AP24" s="1">
        <f t="shared" si="5"/>
        <v>0.95873169999999996</v>
      </c>
      <c r="AX24" s="1"/>
      <c r="AY24" s="1">
        <f t="shared" si="6"/>
        <v>0</v>
      </c>
      <c r="AZ24" s="1">
        <f t="shared" si="7"/>
        <v>0.95873169999999996</v>
      </c>
    </row>
    <row r="25" spans="1:52" x14ac:dyDescent="0.3">
      <c r="A25" s="2" t="s">
        <v>32</v>
      </c>
      <c r="E25" s="2">
        <v>79.52431</v>
      </c>
      <c r="F25" s="2">
        <v>0.51665740000000004</v>
      </c>
      <c r="G25" s="2">
        <v>82.701809999999995</v>
      </c>
      <c r="H25" s="2">
        <v>85.868639999999999</v>
      </c>
      <c r="I25" s="2">
        <v>0.48960779999999998</v>
      </c>
      <c r="J25" s="1">
        <v>82.468270000000004</v>
      </c>
      <c r="K25" s="1">
        <f t="shared" si="0"/>
        <v>-0.51665740000000004</v>
      </c>
      <c r="L25" s="1">
        <v>0</v>
      </c>
      <c r="T25" s="1"/>
      <c r="U25" s="1">
        <f>$B$3-P25</f>
        <v>0</v>
      </c>
      <c r="V25" s="1">
        <f t="shared" si="1"/>
        <v>0.95873169999999996</v>
      </c>
      <c r="AD25" s="1"/>
      <c r="AE25" s="1">
        <f t="shared" si="2"/>
        <v>0</v>
      </c>
      <c r="AF25" s="1">
        <f t="shared" si="3"/>
        <v>0.95873169999999996</v>
      </c>
      <c r="AO25" s="1">
        <f t="shared" si="4"/>
        <v>0</v>
      </c>
      <c r="AP25" s="1">
        <f t="shared" si="5"/>
        <v>0.95873169999999996</v>
      </c>
      <c r="AX25" s="1"/>
      <c r="AY25" s="1">
        <f t="shared" si="6"/>
        <v>0</v>
      </c>
      <c r="AZ25" s="1">
        <f t="shared" si="7"/>
        <v>0.95873169999999996</v>
      </c>
    </row>
    <row r="26" spans="1:52" x14ac:dyDescent="0.3">
      <c r="A26" s="2" t="s">
        <v>33</v>
      </c>
      <c r="E26" s="2">
        <v>79.52431</v>
      </c>
      <c r="F26" s="2">
        <v>0.44678839999999997</v>
      </c>
      <c r="G26" s="2">
        <v>83.070819999999998</v>
      </c>
      <c r="H26" s="2">
        <v>85.868639999999999</v>
      </c>
      <c r="I26" s="2">
        <v>0.42641580000000001</v>
      </c>
      <c r="J26" s="1">
        <v>82.868129999999994</v>
      </c>
      <c r="K26" s="1">
        <f t="shared" si="0"/>
        <v>-0.44678839999999997</v>
      </c>
      <c r="L26" s="1">
        <v>0</v>
      </c>
      <c r="T26" s="1"/>
      <c r="U26" s="1">
        <f>$B$3-P26</f>
        <v>0</v>
      </c>
      <c r="V26" s="1">
        <f t="shared" si="1"/>
        <v>0.95873169999999996</v>
      </c>
      <c r="AD26" s="1"/>
      <c r="AE26" s="1">
        <f t="shared" si="2"/>
        <v>0</v>
      </c>
      <c r="AF26" s="1">
        <f t="shared" si="3"/>
        <v>0.95873169999999996</v>
      </c>
      <c r="AO26" s="1">
        <f t="shared" si="4"/>
        <v>0</v>
      </c>
      <c r="AP26" s="1">
        <f t="shared" si="5"/>
        <v>0.95873169999999996</v>
      </c>
      <c r="AX26" s="1"/>
      <c r="AY26" s="1">
        <f t="shared" si="6"/>
        <v>0</v>
      </c>
      <c r="AZ26" s="1">
        <f t="shared" si="7"/>
        <v>0.95873169999999996</v>
      </c>
    </row>
    <row r="27" spans="1:52" x14ac:dyDescent="0.3">
      <c r="A27" s="2" t="s">
        <v>34</v>
      </c>
      <c r="E27" s="2">
        <v>79.52431</v>
      </c>
      <c r="F27" s="2">
        <v>0.37264580000000003</v>
      </c>
      <c r="G27" s="2">
        <v>83.282749999999993</v>
      </c>
      <c r="H27" s="2">
        <v>85.868639999999999</v>
      </c>
      <c r="I27" s="2">
        <v>0.35836560000000001</v>
      </c>
      <c r="J27" s="1">
        <v>83.113050000000001</v>
      </c>
      <c r="K27" s="1">
        <f t="shared" si="0"/>
        <v>-0.37264580000000003</v>
      </c>
      <c r="L27" s="1">
        <v>0</v>
      </c>
      <c r="T27" s="1"/>
      <c r="U27" s="1">
        <f>$B$3-P27</f>
        <v>0</v>
      </c>
      <c r="V27" s="1">
        <f t="shared" si="1"/>
        <v>0.95873169999999996</v>
      </c>
      <c r="AD27" s="1"/>
      <c r="AE27" s="1">
        <f t="shared" si="2"/>
        <v>0</v>
      </c>
      <c r="AF27" s="1">
        <f t="shared" si="3"/>
        <v>0.95873169999999996</v>
      </c>
      <c r="AO27" s="1">
        <f t="shared" si="4"/>
        <v>0</v>
      </c>
      <c r="AP27" s="1">
        <f t="shared" si="5"/>
        <v>0.95873169999999996</v>
      </c>
      <c r="AX27" s="1"/>
      <c r="AY27" s="1">
        <f t="shared" si="6"/>
        <v>0</v>
      </c>
      <c r="AZ27" s="1">
        <f t="shared" si="7"/>
        <v>0.95873169999999996</v>
      </c>
    </row>
    <row r="28" spans="1:52" x14ac:dyDescent="0.3">
      <c r="A28" s="2" t="s">
        <v>35</v>
      </c>
      <c r="E28" s="2">
        <v>79.52431</v>
      </c>
      <c r="F28" s="2">
        <v>0.29403620000000003</v>
      </c>
      <c r="G28" s="2">
        <v>83.253789999999995</v>
      </c>
      <c r="H28" s="2">
        <v>85.868639999999999</v>
      </c>
      <c r="I28" s="2">
        <v>0.28507290000000002</v>
      </c>
      <c r="J28" s="1">
        <v>83.119349999999997</v>
      </c>
      <c r="K28" s="1">
        <f t="shared" si="0"/>
        <v>-0.29403620000000003</v>
      </c>
      <c r="L28" s="1">
        <v>0</v>
      </c>
      <c r="T28" s="1"/>
      <c r="U28" s="1">
        <f>$B$3-P28</f>
        <v>0</v>
      </c>
      <c r="V28" s="1">
        <f t="shared" si="1"/>
        <v>0.95873169999999996</v>
      </c>
      <c r="AD28" s="1"/>
      <c r="AE28" s="1">
        <f t="shared" si="2"/>
        <v>0</v>
      </c>
      <c r="AF28" s="1">
        <f t="shared" si="3"/>
        <v>0.95873169999999996</v>
      </c>
      <c r="AO28" s="1">
        <f t="shared" si="4"/>
        <v>0</v>
      </c>
      <c r="AP28" s="1">
        <f t="shared" si="5"/>
        <v>0.95873169999999996</v>
      </c>
      <c r="AX28" s="1"/>
      <c r="AY28" s="1">
        <f t="shared" si="6"/>
        <v>0</v>
      </c>
      <c r="AZ28" s="1">
        <f t="shared" si="7"/>
        <v>0.95873169999999996</v>
      </c>
    </row>
    <row r="29" spans="1:52" x14ac:dyDescent="0.3">
      <c r="A29" s="3" t="s">
        <v>36</v>
      </c>
      <c r="B29" s="3"/>
      <c r="C29" s="14"/>
      <c r="D29" s="3"/>
      <c r="E29" s="3">
        <v>79.52431</v>
      </c>
      <c r="F29" s="3">
        <v>0.2323856</v>
      </c>
      <c r="G29" s="3">
        <v>83.231890000000007</v>
      </c>
      <c r="H29" s="3">
        <v>85.868639999999999</v>
      </c>
      <c r="I29" s="3">
        <v>0.22675090000000001</v>
      </c>
      <c r="J29" s="4">
        <v>83.125290000000007</v>
      </c>
      <c r="K29" s="1">
        <f t="shared" si="0"/>
        <v>-0.2323856</v>
      </c>
      <c r="L29" s="1">
        <v>0</v>
      </c>
      <c r="M29" s="14"/>
      <c r="N29" s="3"/>
      <c r="O29" s="3"/>
      <c r="P29" s="3"/>
      <c r="Q29" s="3"/>
      <c r="R29" s="3"/>
      <c r="S29" s="3"/>
      <c r="T29" s="4"/>
      <c r="U29" s="1">
        <f>$B$3-P29</f>
        <v>0</v>
      </c>
      <c r="V29" s="1">
        <f t="shared" si="1"/>
        <v>0.95873169999999996</v>
      </c>
      <c r="W29" s="14"/>
      <c r="X29" s="3"/>
      <c r="Y29" s="3"/>
      <c r="Z29" s="3"/>
      <c r="AA29" s="3"/>
      <c r="AB29" s="3"/>
      <c r="AC29" s="3"/>
      <c r="AD29" s="4"/>
      <c r="AE29" s="1">
        <f t="shared" si="2"/>
        <v>0</v>
      </c>
      <c r="AF29" s="1">
        <f t="shared" si="3"/>
        <v>0.95873169999999996</v>
      </c>
      <c r="AG29" s="14"/>
      <c r="AH29" s="3"/>
      <c r="AI29" s="3"/>
      <c r="AJ29" s="3"/>
      <c r="AK29" s="3"/>
      <c r="AL29" s="3"/>
      <c r="AM29" s="3"/>
      <c r="AN29" s="3"/>
      <c r="AO29" s="1">
        <f t="shared" si="4"/>
        <v>0</v>
      </c>
      <c r="AP29" s="1">
        <f t="shared" si="5"/>
        <v>0.95873169999999996</v>
      </c>
      <c r="AQ29" s="14"/>
      <c r="AR29" s="3"/>
      <c r="AS29" s="3"/>
      <c r="AT29" s="3"/>
      <c r="AU29" s="3"/>
      <c r="AV29" s="3"/>
      <c r="AW29" s="3"/>
      <c r="AX29" s="4"/>
      <c r="AY29" s="1">
        <f t="shared" si="6"/>
        <v>0</v>
      </c>
      <c r="AZ29" s="1">
        <f t="shared" si="7"/>
        <v>0.95873169999999996</v>
      </c>
    </row>
    <row r="30" spans="1:52" ht="15" thickBot="1" x14ac:dyDescent="0.35">
      <c r="A30" s="15" t="s">
        <v>49</v>
      </c>
      <c r="B30" s="16">
        <f>SUM(B3:B29)/27</f>
        <v>0</v>
      </c>
      <c r="C30" s="17"/>
      <c r="D30" s="16">
        <f>SUM(D3:D29)/27</f>
        <v>0</v>
      </c>
      <c r="E30" s="16">
        <f t="shared" ref="E30:L30" si="8">SUM(E3:E29)/27</f>
        <v>78.362477777777769</v>
      </c>
      <c r="F30" s="16">
        <f t="shared" si="8"/>
        <v>0.68746407407407417</v>
      </c>
      <c r="G30" s="16">
        <f t="shared" si="8"/>
        <v>74.694076296296302</v>
      </c>
      <c r="H30" s="16">
        <f t="shared" si="8"/>
        <v>84.722682222222204</v>
      </c>
      <c r="I30" s="16">
        <f t="shared" si="8"/>
        <v>0.64267183333333333</v>
      </c>
      <c r="J30" s="16">
        <f t="shared" si="8"/>
        <v>74.40525814814815</v>
      </c>
      <c r="K30" s="16">
        <f t="shared" si="8"/>
        <v>-0.68746407407407417</v>
      </c>
      <c r="L30" s="16">
        <f t="shared" si="8"/>
        <v>0</v>
      </c>
      <c r="M30" s="17"/>
      <c r="N30" s="16">
        <f>SUM(N3:N29)/27</f>
        <v>0</v>
      </c>
      <c r="O30" s="16">
        <f t="shared" ref="O30" si="9">SUM(O3:O29)/27</f>
        <v>0</v>
      </c>
      <c r="P30" s="16">
        <f t="shared" ref="P30" si="10">SUM(P3:P29)/27</f>
        <v>0</v>
      </c>
      <c r="Q30" s="16">
        <f t="shared" ref="Q30" si="11">SUM(Q3:Q29)/27</f>
        <v>0</v>
      </c>
      <c r="R30" s="16">
        <f t="shared" ref="R30" si="12">SUM(R3:R29)/27</f>
        <v>0</v>
      </c>
      <c r="S30" s="16">
        <f t="shared" ref="S30:T30" si="13">SUM(S3:S29)/27</f>
        <v>0</v>
      </c>
      <c r="T30" s="16">
        <f t="shared" si="13"/>
        <v>0</v>
      </c>
      <c r="U30" s="16">
        <f t="shared" ref="U30" si="14">SUM(U3:U29)/27</f>
        <v>0</v>
      </c>
      <c r="V30" s="1">
        <f t="shared" si="1"/>
        <v>0.95873169999999996</v>
      </c>
      <c r="W30" s="17"/>
      <c r="X30" s="16">
        <f>SUM(X3:X29)/27</f>
        <v>0</v>
      </c>
      <c r="Y30" s="16">
        <f t="shared" ref="Y30" si="15">SUM(Y3:Y29)/27</f>
        <v>0</v>
      </c>
      <c r="Z30" s="16">
        <f t="shared" ref="Z30" si="16">SUM(Z3:Z29)/27</f>
        <v>0</v>
      </c>
      <c r="AA30" s="16">
        <f t="shared" ref="AA30" si="17">SUM(AA3:AA29)/27</f>
        <v>0</v>
      </c>
      <c r="AB30" s="16">
        <f t="shared" ref="AB30" si="18">SUM(AB3:AB29)/27</f>
        <v>0</v>
      </c>
      <c r="AC30" s="16">
        <f t="shared" ref="AC30:AD30" si="19">SUM(AC3:AC29)/27</f>
        <v>0</v>
      </c>
      <c r="AD30" s="16">
        <f t="shared" si="19"/>
        <v>0</v>
      </c>
      <c r="AE30" s="16">
        <f t="shared" ref="AE30" si="20">SUM(AE3:AE29)/27</f>
        <v>0</v>
      </c>
      <c r="AF30" s="16">
        <f t="shared" ref="AF30" si="21">SUM(AF3:AF29)/27</f>
        <v>0.9587317000000003</v>
      </c>
      <c r="AG30" s="17"/>
      <c r="AH30" s="16">
        <f>SUM(AH3:AH29)/27</f>
        <v>0</v>
      </c>
      <c r="AI30" s="16">
        <f t="shared" ref="AI30" si="22">SUM(AI3:AI29)/27</f>
        <v>0</v>
      </c>
      <c r="AJ30" s="16">
        <f t="shared" ref="AJ30" si="23">SUM(AJ3:AJ29)/27</f>
        <v>0</v>
      </c>
      <c r="AK30" s="16">
        <f t="shared" ref="AK30" si="24">SUM(AK3:AK29)/27</f>
        <v>0</v>
      </c>
      <c r="AL30" s="16">
        <f t="shared" ref="AL30" si="25">SUM(AL3:AL29)/27</f>
        <v>0</v>
      </c>
      <c r="AM30" s="16">
        <f t="shared" ref="AM30:AN30" si="26">SUM(AM3:AM29)/27</f>
        <v>0</v>
      </c>
      <c r="AN30" s="16">
        <f t="shared" si="26"/>
        <v>0</v>
      </c>
      <c r="AO30" s="16">
        <f t="shared" ref="AO30" si="27">SUM(AO3:AO29)/27</f>
        <v>0</v>
      </c>
      <c r="AP30" s="16">
        <f t="shared" ref="AP30" si="28">SUM(AP3:AP29)/27</f>
        <v>0.9587317000000003</v>
      </c>
      <c r="AQ30" s="17"/>
      <c r="AR30" s="16">
        <f>SUM(AR3:AR29)/27</f>
        <v>0</v>
      </c>
      <c r="AS30" s="16">
        <f t="shared" ref="AS30" si="29">SUM(AS3:AS29)/27</f>
        <v>0</v>
      </c>
      <c r="AT30" s="16">
        <f t="shared" ref="AT30" si="30">SUM(AT3:AT29)/27</f>
        <v>0</v>
      </c>
      <c r="AU30" s="16">
        <f t="shared" ref="AU30" si="31">SUM(AU3:AU29)/27</f>
        <v>0</v>
      </c>
      <c r="AV30" s="16">
        <f t="shared" ref="AV30" si="32">SUM(AV3:AV29)/27</f>
        <v>0</v>
      </c>
      <c r="AW30" s="16">
        <f t="shared" ref="AW30:AX30" si="33">SUM(AW3:AW29)/27</f>
        <v>0</v>
      </c>
      <c r="AX30" s="16">
        <f t="shared" si="33"/>
        <v>0</v>
      </c>
      <c r="AY30" s="16">
        <f t="shared" ref="AY30" si="34">SUM(AY3:AY29)/27</f>
        <v>0</v>
      </c>
      <c r="AZ30" s="16">
        <f t="shared" ref="AZ30" si="35">SUM(AZ3:AZ29)/27</f>
        <v>0.9587317000000003</v>
      </c>
    </row>
    <row r="31" spans="1:52" s="10" customFormat="1" ht="15" thickBot="1" x14ac:dyDescent="0.35">
      <c r="A31" s="9" t="s">
        <v>43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</row>
    <row r="32" spans="1:52" x14ac:dyDescent="0.3">
      <c r="A32" s="1" t="s">
        <v>10</v>
      </c>
      <c r="B32" s="1"/>
      <c r="C32" s="11"/>
      <c r="D32" s="1"/>
      <c r="E32" s="1">
        <v>61.85772</v>
      </c>
      <c r="F32" s="1">
        <v>0.95875049999999995</v>
      </c>
      <c r="G32" s="1">
        <v>63.386760000000002</v>
      </c>
      <c r="H32" s="1">
        <v>65.606300000000005</v>
      </c>
      <c r="I32" s="1">
        <v>0.90399180000000001</v>
      </c>
      <c r="J32" s="1">
        <v>63.131349999999998</v>
      </c>
      <c r="K32" s="1">
        <f>B32-F32</f>
        <v>-0.95875049999999995</v>
      </c>
      <c r="L32" s="1">
        <v>0</v>
      </c>
      <c r="M32" s="11"/>
      <c r="N32" s="1"/>
      <c r="O32" s="1"/>
      <c r="P32" s="1"/>
      <c r="Q32" s="1"/>
      <c r="R32" s="1"/>
      <c r="S32" s="1"/>
      <c r="T32" s="1"/>
      <c r="U32" s="1">
        <f>$B$3-P32</f>
        <v>0</v>
      </c>
      <c r="V32" s="1">
        <f>$F$3-P32</f>
        <v>0.95873169999999996</v>
      </c>
      <c r="W32" s="11"/>
      <c r="X32" s="1"/>
      <c r="Y32" s="1"/>
      <c r="Z32" s="1"/>
      <c r="AA32" s="1"/>
      <c r="AB32" s="1"/>
      <c r="AC32" s="1"/>
      <c r="AD32" s="1"/>
      <c r="AE32" s="1">
        <f>$B$3-Z32</f>
        <v>0</v>
      </c>
      <c r="AF32" s="1">
        <f>$F$3-Z32</f>
        <v>0.95873169999999996</v>
      </c>
      <c r="AG32" s="11"/>
      <c r="AH32" s="1"/>
      <c r="AI32" s="1"/>
      <c r="AJ32" s="1"/>
      <c r="AK32" s="1"/>
      <c r="AL32" s="1"/>
      <c r="AM32" s="1"/>
      <c r="AN32" s="1"/>
      <c r="AO32" s="1">
        <f>$B$3-AJ32</f>
        <v>0</v>
      </c>
      <c r="AP32" s="1">
        <f>$F$3-AJ32</f>
        <v>0.95873169999999996</v>
      </c>
      <c r="AQ32" s="11"/>
      <c r="AR32" s="1"/>
      <c r="AS32" s="1"/>
      <c r="AT32" s="1"/>
      <c r="AU32" s="1"/>
      <c r="AV32" s="1"/>
      <c r="AW32" s="1"/>
      <c r="AX32" s="1"/>
      <c r="AY32" s="1">
        <f>$B$3-AT32</f>
        <v>0</v>
      </c>
      <c r="AZ32" s="1">
        <f>$F$3-AT32</f>
        <v>0.95873169999999996</v>
      </c>
    </row>
    <row r="33" spans="1:52" x14ac:dyDescent="0.3">
      <c r="A33" s="2" t="s">
        <v>11</v>
      </c>
      <c r="E33" s="2">
        <v>61.85772</v>
      </c>
      <c r="F33" s="2">
        <v>0.95852009999999999</v>
      </c>
      <c r="G33" s="2">
        <v>64.385710000000003</v>
      </c>
      <c r="H33" s="2">
        <v>65.606300000000005</v>
      </c>
      <c r="I33" s="2">
        <v>0.90378689999999995</v>
      </c>
      <c r="J33" s="1">
        <v>64.130359999999996</v>
      </c>
      <c r="K33" s="1">
        <f t="shared" ref="K33:K58" si="36">B33-F33</f>
        <v>-0.95852009999999999</v>
      </c>
      <c r="L33" s="1">
        <v>0</v>
      </c>
      <c r="T33" s="1"/>
      <c r="U33" s="1">
        <f t="shared" ref="U33:U58" si="37">$B$3-P33</f>
        <v>0</v>
      </c>
      <c r="V33" s="1">
        <f t="shared" ref="V33:V59" si="38">$F$3-P33</f>
        <v>0.95873169999999996</v>
      </c>
      <c r="AD33" s="1"/>
      <c r="AE33" s="1">
        <f t="shared" ref="AE33:AE58" si="39">$B$3-Z33</f>
        <v>0</v>
      </c>
      <c r="AF33" s="1">
        <f t="shared" ref="AF33:AF58" si="40">$F$3-Z33</f>
        <v>0.95873169999999996</v>
      </c>
      <c r="AO33" s="1">
        <f t="shared" ref="AO33:AO58" si="41">$B$3-AJ33</f>
        <v>0</v>
      </c>
      <c r="AP33" s="1">
        <f t="shared" ref="AP33:AP58" si="42">$F$3-AJ33</f>
        <v>0.95873169999999996</v>
      </c>
      <c r="AX33" s="1"/>
      <c r="AY33" s="1">
        <f t="shared" ref="AY33:AY58" si="43">$B$3-AT33</f>
        <v>0</v>
      </c>
      <c r="AZ33" s="1">
        <f t="shared" ref="AZ33:AZ58" si="44">$F$3-AT33</f>
        <v>0.95873169999999996</v>
      </c>
    </row>
    <row r="34" spans="1:52" x14ac:dyDescent="0.3">
      <c r="A34" s="2" t="s">
        <v>12</v>
      </c>
      <c r="E34" s="2">
        <v>61.85772</v>
      </c>
      <c r="F34" s="2">
        <v>0.95815110000000003</v>
      </c>
      <c r="G34" s="2">
        <v>65.384050000000002</v>
      </c>
      <c r="H34" s="2">
        <v>65.606300000000005</v>
      </c>
      <c r="I34" s="2">
        <v>0.90345880000000001</v>
      </c>
      <c r="J34" s="1">
        <v>65.128780000000006</v>
      </c>
      <c r="K34" s="1">
        <f t="shared" si="36"/>
        <v>-0.95815110000000003</v>
      </c>
      <c r="L34" s="1">
        <v>0</v>
      </c>
      <c r="T34" s="1"/>
      <c r="U34" s="1">
        <f t="shared" si="37"/>
        <v>0</v>
      </c>
      <c r="V34" s="1">
        <f t="shared" si="38"/>
        <v>0.95873169999999996</v>
      </c>
      <c r="AD34" s="1"/>
      <c r="AE34" s="1">
        <f t="shared" si="39"/>
        <v>0</v>
      </c>
      <c r="AF34" s="1">
        <f t="shared" si="40"/>
        <v>0.95873169999999996</v>
      </c>
      <c r="AO34" s="1">
        <f t="shared" si="41"/>
        <v>0</v>
      </c>
      <c r="AP34" s="1">
        <f t="shared" si="42"/>
        <v>0.95873169999999996</v>
      </c>
      <c r="AX34" s="1"/>
      <c r="AY34" s="1">
        <f t="shared" si="43"/>
        <v>0</v>
      </c>
      <c r="AZ34" s="1">
        <f t="shared" si="44"/>
        <v>0.95873169999999996</v>
      </c>
    </row>
    <row r="35" spans="1:52" x14ac:dyDescent="0.3">
      <c r="A35" s="2" t="s">
        <v>15</v>
      </c>
      <c r="E35" s="2">
        <v>61.885559999999998</v>
      </c>
      <c r="F35" s="2">
        <v>0.95720079999999996</v>
      </c>
      <c r="G35" s="2">
        <v>66.379739999999998</v>
      </c>
      <c r="H35" s="2">
        <v>65.637690000000006</v>
      </c>
      <c r="I35" s="2">
        <v>0.90256519999999996</v>
      </c>
      <c r="J35" s="1">
        <v>66.124489999999994</v>
      </c>
      <c r="K35" s="1">
        <f t="shared" si="36"/>
        <v>-0.95720079999999996</v>
      </c>
      <c r="L35" s="1">
        <v>0</v>
      </c>
      <c r="T35" s="1"/>
      <c r="U35" s="1">
        <f t="shared" si="37"/>
        <v>0</v>
      </c>
      <c r="V35" s="1">
        <f t="shared" si="38"/>
        <v>0.95873169999999996</v>
      </c>
      <c r="AD35" s="1"/>
      <c r="AE35" s="1">
        <f t="shared" si="39"/>
        <v>0</v>
      </c>
      <c r="AF35" s="1">
        <f t="shared" si="40"/>
        <v>0.95873169999999996</v>
      </c>
      <c r="AO35" s="1">
        <f t="shared" si="41"/>
        <v>0</v>
      </c>
      <c r="AP35" s="1">
        <f t="shared" si="42"/>
        <v>0.95873169999999996</v>
      </c>
      <c r="AX35" s="1"/>
      <c r="AY35" s="1">
        <f t="shared" si="43"/>
        <v>0</v>
      </c>
      <c r="AZ35" s="1">
        <f t="shared" si="44"/>
        <v>0.95873169999999996</v>
      </c>
    </row>
    <row r="36" spans="1:52" x14ac:dyDescent="0.3">
      <c r="A36" s="2" t="s">
        <v>16</v>
      </c>
      <c r="E36" s="2">
        <v>61.885559999999998</v>
      </c>
      <c r="F36" s="2">
        <v>0.95644589999999996</v>
      </c>
      <c r="G36" s="2">
        <v>67.376310000000004</v>
      </c>
      <c r="H36" s="2">
        <v>65.637690000000006</v>
      </c>
      <c r="I36" s="2">
        <v>0.90189399999999997</v>
      </c>
      <c r="J36" s="1">
        <v>67.121260000000007</v>
      </c>
      <c r="K36" s="1">
        <f t="shared" si="36"/>
        <v>-0.95644589999999996</v>
      </c>
      <c r="L36" s="1">
        <v>0</v>
      </c>
      <c r="T36" s="1"/>
      <c r="U36" s="1">
        <f t="shared" si="37"/>
        <v>0</v>
      </c>
      <c r="V36" s="1">
        <f t="shared" si="38"/>
        <v>0.95873169999999996</v>
      </c>
      <c r="AD36" s="1"/>
      <c r="AE36" s="1">
        <f t="shared" si="39"/>
        <v>0</v>
      </c>
      <c r="AF36" s="1">
        <f t="shared" si="40"/>
        <v>0.95873169999999996</v>
      </c>
      <c r="AO36" s="1">
        <f t="shared" si="41"/>
        <v>0</v>
      </c>
      <c r="AP36" s="1">
        <f t="shared" si="42"/>
        <v>0.95873169999999996</v>
      </c>
      <c r="AX36" s="1"/>
      <c r="AY36" s="1">
        <f t="shared" si="43"/>
        <v>0</v>
      </c>
      <c r="AZ36" s="1">
        <f t="shared" si="44"/>
        <v>0.95873169999999996</v>
      </c>
    </row>
    <row r="37" spans="1:52" x14ac:dyDescent="0.3">
      <c r="A37" s="2" t="s">
        <v>25</v>
      </c>
      <c r="E37" s="2">
        <v>61.885559999999998</v>
      </c>
      <c r="F37" s="2">
        <v>0.95525369999999998</v>
      </c>
      <c r="G37" s="2">
        <v>68.370890000000003</v>
      </c>
      <c r="H37" s="2">
        <v>65.637690000000006</v>
      </c>
      <c r="I37" s="2">
        <v>0.90083369999999996</v>
      </c>
      <c r="J37" s="1">
        <v>68.116150000000005</v>
      </c>
      <c r="K37" s="1">
        <f t="shared" si="36"/>
        <v>-0.95525369999999998</v>
      </c>
      <c r="L37" s="1">
        <v>0</v>
      </c>
      <c r="T37" s="1"/>
      <c r="U37" s="1">
        <f t="shared" si="37"/>
        <v>0</v>
      </c>
      <c r="V37" s="1">
        <f t="shared" si="38"/>
        <v>0.95873169999999996</v>
      </c>
      <c r="AD37" s="1"/>
      <c r="AE37" s="1">
        <f t="shared" si="39"/>
        <v>0</v>
      </c>
      <c r="AF37" s="1">
        <f t="shared" si="40"/>
        <v>0.95873169999999996</v>
      </c>
      <c r="AO37" s="1">
        <f t="shared" si="41"/>
        <v>0</v>
      </c>
      <c r="AP37" s="1">
        <f t="shared" si="42"/>
        <v>0.95873169999999996</v>
      </c>
      <c r="AX37" s="1"/>
      <c r="AY37" s="1">
        <f t="shared" si="43"/>
        <v>0</v>
      </c>
      <c r="AZ37" s="1">
        <f t="shared" si="44"/>
        <v>0.95873169999999996</v>
      </c>
    </row>
    <row r="38" spans="1:52" x14ac:dyDescent="0.3">
      <c r="A38" s="2" t="s">
        <v>17</v>
      </c>
      <c r="E38" s="2">
        <v>64.886200000000002</v>
      </c>
      <c r="F38" s="2">
        <v>0.90990420000000005</v>
      </c>
      <c r="G38" s="2">
        <v>69.159670000000006</v>
      </c>
      <c r="H38" s="2">
        <v>69.02704</v>
      </c>
      <c r="I38" s="2">
        <v>0.855572</v>
      </c>
      <c r="J38" s="1">
        <v>68.892269999999996</v>
      </c>
      <c r="K38" s="1">
        <f t="shared" si="36"/>
        <v>-0.90990420000000005</v>
      </c>
      <c r="L38" s="1">
        <v>0</v>
      </c>
      <c r="T38" s="1"/>
      <c r="U38" s="1">
        <f t="shared" si="37"/>
        <v>0</v>
      </c>
      <c r="V38" s="1">
        <f t="shared" si="38"/>
        <v>0.95873169999999996</v>
      </c>
      <c r="AD38" s="1"/>
      <c r="AE38" s="1">
        <f t="shared" si="39"/>
        <v>0</v>
      </c>
      <c r="AF38" s="1">
        <f t="shared" si="40"/>
        <v>0.95873169999999996</v>
      </c>
      <c r="AO38" s="1">
        <f t="shared" si="41"/>
        <v>0</v>
      </c>
      <c r="AP38" s="1">
        <f t="shared" si="42"/>
        <v>0.95873169999999996</v>
      </c>
      <c r="AX38" s="1"/>
      <c r="AY38" s="1">
        <f t="shared" si="43"/>
        <v>0</v>
      </c>
      <c r="AZ38" s="1">
        <f t="shared" si="44"/>
        <v>0.95873169999999996</v>
      </c>
    </row>
    <row r="39" spans="1:52" x14ac:dyDescent="0.3">
      <c r="A39" s="2" t="s">
        <v>18</v>
      </c>
      <c r="E39" s="2">
        <v>64.886200000000002</v>
      </c>
      <c r="F39" s="2">
        <v>0.9082422</v>
      </c>
      <c r="G39" s="2">
        <v>70.151719999999997</v>
      </c>
      <c r="H39" s="2">
        <v>69.02704</v>
      </c>
      <c r="I39" s="2">
        <v>0.85410240000000004</v>
      </c>
      <c r="J39" s="1">
        <v>69.884799999999998</v>
      </c>
      <c r="K39" s="1">
        <f t="shared" si="36"/>
        <v>-0.9082422</v>
      </c>
      <c r="L39" s="1">
        <v>0</v>
      </c>
      <c r="T39" s="1"/>
      <c r="U39" s="1">
        <f t="shared" si="37"/>
        <v>0</v>
      </c>
      <c r="V39" s="1">
        <f t="shared" si="38"/>
        <v>0.95873169999999996</v>
      </c>
      <c r="AD39" s="1"/>
      <c r="AE39" s="1">
        <f t="shared" si="39"/>
        <v>0</v>
      </c>
      <c r="AF39" s="1">
        <f t="shared" si="40"/>
        <v>0.95873169999999996</v>
      </c>
      <c r="AO39" s="1">
        <f t="shared" si="41"/>
        <v>0</v>
      </c>
      <c r="AP39" s="1">
        <f t="shared" si="42"/>
        <v>0.95873169999999996</v>
      </c>
      <c r="AX39" s="1"/>
      <c r="AY39" s="1">
        <f t="shared" si="43"/>
        <v>0</v>
      </c>
      <c r="AZ39" s="1">
        <f t="shared" si="44"/>
        <v>0.95873169999999996</v>
      </c>
    </row>
    <row r="40" spans="1:52" x14ac:dyDescent="0.3">
      <c r="A40" s="2" t="s">
        <v>19</v>
      </c>
      <c r="E40" s="2">
        <v>64.886200000000002</v>
      </c>
      <c r="F40" s="2">
        <v>0.90622440000000004</v>
      </c>
      <c r="G40" s="2">
        <v>71.142060000000001</v>
      </c>
      <c r="H40" s="2">
        <v>69.02704</v>
      </c>
      <c r="I40" s="2">
        <v>0.85231780000000001</v>
      </c>
      <c r="J40" s="1">
        <v>70.875720000000001</v>
      </c>
      <c r="K40" s="1">
        <f t="shared" si="36"/>
        <v>-0.90622440000000004</v>
      </c>
      <c r="L40" s="1">
        <v>0</v>
      </c>
      <c r="T40" s="1"/>
      <c r="U40" s="1">
        <f t="shared" si="37"/>
        <v>0</v>
      </c>
      <c r="V40" s="1">
        <f t="shared" si="38"/>
        <v>0.95873169999999996</v>
      </c>
      <c r="AD40" s="1"/>
      <c r="AE40" s="1">
        <f t="shared" si="39"/>
        <v>0</v>
      </c>
      <c r="AF40" s="1">
        <f t="shared" si="40"/>
        <v>0.95873169999999996</v>
      </c>
      <c r="AO40" s="1">
        <f t="shared" si="41"/>
        <v>0</v>
      </c>
      <c r="AP40" s="1">
        <f t="shared" si="42"/>
        <v>0.95873169999999996</v>
      </c>
      <c r="AX40" s="1"/>
      <c r="AY40" s="1">
        <f t="shared" si="43"/>
        <v>0</v>
      </c>
      <c r="AZ40" s="1">
        <f t="shared" si="44"/>
        <v>0.95873169999999996</v>
      </c>
    </row>
    <row r="41" spans="1:52" x14ac:dyDescent="0.3">
      <c r="A41" s="2" t="s">
        <v>20</v>
      </c>
      <c r="E41" s="2">
        <v>103.3588</v>
      </c>
      <c r="F41" s="2">
        <v>0.56989259999999997</v>
      </c>
      <c r="G41" s="2">
        <v>70.127629999999996</v>
      </c>
      <c r="H41" s="2">
        <v>114.4448</v>
      </c>
      <c r="I41" s="2">
        <v>0.51504830000000001</v>
      </c>
      <c r="J41" s="1">
        <v>69.688180000000003</v>
      </c>
      <c r="K41" s="1">
        <f t="shared" si="36"/>
        <v>-0.56989259999999997</v>
      </c>
      <c r="L41" s="1">
        <v>0</v>
      </c>
      <c r="T41" s="1"/>
      <c r="U41" s="1">
        <f t="shared" si="37"/>
        <v>0</v>
      </c>
      <c r="V41" s="1">
        <f t="shared" si="38"/>
        <v>0.95873169999999996</v>
      </c>
      <c r="AD41" s="1"/>
      <c r="AE41" s="1">
        <f t="shared" si="39"/>
        <v>0</v>
      </c>
      <c r="AF41" s="1">
        <f t="shared" si="40"/>
        <v>0.95873169999999996</v>
      </c>
      <c r="AO41" s="1">
        <f t="shared" si="41"/>
        <v>0</v>
      </c>
      <c r="AP41" s="1">
        <f t="shared" si="42"/>
        <v>0.95873169999999996</v>
      </c>
      <c r="AX41" s="1"/>
      <c r="AY41" s="1">
        <f t="shared" si="43"/>
        <v>0</v>
      </c>
      <c r="AZ41" s="1">
        <f t="shared" si="44"/>
        <v>0.95873169999999996</v>
      </c>
    </row>
    <row r="42" spans="1:52" x14ac:dyDescent="0.3">
      <c r="A42" s="2" t="s">
        <v>21</v>
      </c>
      <c r="E42" s="2">
        <v>103.3588</v>
      </c>
      <c r="F42" s="2">
        <v>0.56899619999999995</v>
      </c>
      <c r="G42" s="2">
        <v>71.120800000000003</v>
      </c>
      <c r="H42" s="2">
        <v>114.4448</v>
      </c>
      <c r="I42" s="2">
        <v>0.514316</v>
      </c>
      <c r="J42" s="1">
        <v>70.682010000000005</v>
      </c>
      <c r="K42" s="1">
        <f t="shared" si="36"/>
        <v>-0.56899619999999995</v>
      </c>
      <c r="L42" s="1">
        <v>0</v>
      </c>
      <c r="T42" s="1"/>
      <c r="U42" s="1">
        <f t="shared" si="37"/>
        <v>0</v>
      </c>
      <c r="V42" s="1">
        <f t="shared" si="38"/>
        <v>0.95873169999999996</v>
      </c>
      <c r="AD42" s="1"/>
      <c r="AE42" s="1">
        <f t="shared" si="39"/>
        <v>0</v>
      </c>
      <c r="AF42" s="1">
        <f t="shared" si="40"/>
        <v>0.95873169999999996</v>
      </c>
      <c r="AO42" s="1">
        <f t="shared" si="41"/>
        <v>0</v>
      </c>
      <c r="AP42" s="1">
        <f t="shared" si="42"/>
        <v>0.95873169999999996</v>
      </c>
      <c r="AX42" s="1"/>
      <c r="AY42" s="1">
        <f t="shared" si="43"/>
        <v>0</v>
      </c>
      <c r="AZ42" s="1">
        <f t="shared" si="44"/>
        <v>0.95873169999999996</v>
      </c>
    </row>
    <row r="43" spans="1:52" x14ac:dyDescent="0.3">
      <c r="A43" s="2" t="s">
        <v>22</v>
      </c>
      <c r="E43" s="2">
        <v>103.3588</v>
      </c>
      <c r="F43" s="2">
        <v>0.56801040000000003</v>
      </c>
      <c r="G43" s="2">
        <v>72.11327</v>
      </c>
      <c r="H43" s="2">
        <v>114.4448</v>
      </c>
      <c r="I43" s="2">
        <v>0.51351040000000003</v>
      </c>
      <c r="J43" s="1">
        <v>71.675200000000004</v>
      </c>
      <c r="K43" s="1">
        <f t="shared" si="36"/>
        <v>-0.56801040000000003</v>
      </c>
      <c r="L43" s="1">
        <v>0</v>
      </c>
      <c r="T43" s="1"/>
      <c r="U43" s="1">
        <f t="shared" si="37"/>
        <v>0</v>
      </c>
      <c r="V43" s="1">
        <f t="shared" si="38"/>
        <v>0.95873169999999996</v>
      </c>
      <c r="AD43" s="1"/>
      <c r="AE43" s="1">
        <f t="shared" si="39"/>
        <v>0</v>
      </c>
      <c r="AF43" s="1">
        <f t="shared" si="40"/>
        <v>0.95873169999999996</v>
      </c>
      <c r="AO43" s="1">
        <f t="shared" si="41"/>
        <v>0</v>
      </c>
      <c r="AP43" s="1">
        <f t="shared" si="42"/>
        <v>0.95873169999999996</v>
      </c>
      <c r="AX43" s="1"/>
      <c r="AY43" s="1">
        <f t="shared" si="43"/>
        <v>0</v>
      </c>
      <c r="AZ43" s="1">
        <f t="shared" si="44"/>
        <v>0.95873169999999996</v>
      </c>
    </row>
    <row r="44" spans="1:52" x14ac:dyDescent="0.3">
      <c r="A44" s="2" t="s">
        <v>23</v>
      </c>
      <c r="E44" s="2">
        <v>86.461920000000006</v>
      </c>
      <c r="F44" s="2">
        <v>0.67597039999999997</v>
      </c>
      <c r="G44" s="2">
        <v>73.868979999999993</v>
      </c>
      <c r="H44" s="2">
        <v>94.035790000000006</v>
      </c>
      <c r="I44" s="2">
        <v>0.6222742</v>
      </c>
      <c r="J44" s="1">
        <v>73.509519999999995</v>
      </c>
      <c r="K44" s="1">
        <f t="shared" si="36"/>
        <v>-0.67597039999999997</v>
      </c>
      <c r="L44" s="1">
        <v>0</v>
      </c>
      <c r="T44" s="1"/>
      <c r="U44" s="1">
        <f t="shared" si="37"/>
        <v>0</v>
      </c>
      <c r="V44" s="1">
        <f t="shared" si="38"/>
        <v>0.95873169999999996</v>
      </c>
      <c r="AD44" s="1"/>
      <c r="AE44" s="1">
        <f t="shared" si="39"/>
        <v>0</v>
      </c>
      <c r="AF44" s="1">
        <f t="shared" si="40"/>
        <v>0.95873169999999996</v>
      </c>
      <c r="AO44" s="1">
        <f t="shared" si="41"/>
        <v>0</v>
      </c>
      <c r="AP44" s="1">
        <f t="shared" si="42"/>
        <v>0.95873169999999996</v>
      </c>
      <c r="AX44" s="1"/>
      <c r="AY44" s="1">
        <f t="shared" si="43"/>
        <v>0</v>
      </c>
      <c r="AZ44" s="1">
        <f t="shared" si="44"/>
        <v>0.95873169999999996</v>
      </c>
    </row>
    <row r="45" spans="1:52" x14ac:dyDescent="0.3">
      <c r="A45" s="2" t="s">
        <v>13</v>
      </c>
      <c r="E45" s="2">
        <v>86.461920000000006</v>
      </c>
      <c r="F45" s="2">
        <v>0.67401920000000004</v>
      </c>
      <c r="G45" s="2">
        <v>74.856430000000003</v>
      </c>
      <c r="H45" s="2">
        <v>94.035790000000006</v>
      </c>
      <c r="I45" s="2">
        <v>0.62062030000000001</v>
      </c>
      <c r="J45" s="1">
        <v>74.497969999999995</v>
      </c>
      <c r="K45" s="1">
        <f t="shared" si="36"/>
        <v>-0.67401920000000004</v>
      </c>
      <c r="L45" s="1">
        <v>0</v>
      </c>
      <c r="T45" s="1"/>
      <c r="U45" s="1">
        <f t="shared" si="37"/>
        <v>0</v>
      </c>
      <c r="V45" s="1">
        <f t="shared" si="38"/>
        <v>0.95873169999999996</v>
      </c>
      <c r="AD45" s="1"/>
      <c r="AE45" s="1">
        <f t="shared" si="39"/>
        <v>0</v>
      </c>
      <c r="AF45" s="1">
        <f t="shared" si="40"/>
        <v>0.95873169999999996</v>
      </c>
      <c r="AO45" s="1">
        <f t="shared" si="41"/>
        <v>0</v>
      </c>
      <c r="AP45" s="1">
        <f t="shared" si="42"/>
        <v>0.95873169999999996</v>
      </c>
      <c r="AX45" s="1"/>
      <c r="AY45" s="1">
        <f t="shared" si="43"/>
        <v>0</v>
      </c>
      <c r="AZ45" s="1">
        <f t="shared" si="44"/>
        <v>0.95873169999999996</v>
      </c>
    </row>
    <row r="46" spans="1:52" x14ac:dyDescent="0.3">
      <c r="A46" s="2" t="s">
        <v>14</v>
      </c>
      <c r="E46" s="2">
        <v>86.461920000000006</v>
      </c>
      <c r="F46" s="2">
        <v>0.67134210000000005</v>
      </c>
      <c r="G46" s="2">
        <v>75.83914</v>
      </c>
      <c r="H46" s="2">
        <v>94.035790000000006</v>
      </c>
      <c r="I46" s="2">
        <v>0.61834979999999995</v>
      </c>
      <c r="J46" s="1">
        <v>75.482039999999998</v>
      </c>
      <c r="K46" s="1">
        <f t="shared" si="36"/>
        <v>-0.67134210000000005</v>
      </c>
      <c r="L46" s="1">
        <v>0</v>
      </c>
      <c r="T46" s="1"/>
      <c r="U46" s="1">
        <f t="shared" si="37"/>
        <v>0</v>
      </c>
      <c r="V46" s="1">
        <f t="shared" si="38"/>
        <v>0.95873169999999996</v>
      </c>
      <c r="AD46" s="1"/>
      <c r="AE46" s="1">
        <f t="shared" si="39"/>
        <v>0</v>
      </c>
      <c r="AF46" s="1">
        <f t="shared" si="40"/>
        <v>0.95873169999999996</v>
      </c>
      <c r="AO46" s="1">
        <f t="shared" si="41"/>
        <v>0</v>
      </c>
      <c r="AP46" s="1">
        <f t="shared" si="42"/>
        <v>0.95873169999999996</v>
      </c>
      <c r="AX46" s="1"/>
      <c r="AY46" s="1">
        <f t="shared" si="43"/>
        <v>0</v>
      </c>
      <c r="AZ46" s="1">
        <f t="shared" si="44"/>
        <v>0.95873169999999996</v>
      </c>
    </row>
    <row r="47" spans="1:52" x14ac:dyDescent="0.3">
      <c r="A47" s="2" t="s">
        <v>26</v>
      </c>
      <c r="E47" s="2">
        <v>88.237780000000001</v>
      </c>
      <c r="F47" s="2">
        <v>0.65388749999999995</v>
      </c>
      <c r="G47" s="2">
        <v>76.724729999999994</v>
      </c>
      <c r="H47" s="2">
        <v>96.144990000000007</v>
      </c>
      <c r="I47" s="2">
        <v>0.60147209999999995</v>
      </c>
      <c r="J47" s="1">
        <v>76.361859999999993</v>
      </c>
      <c r="K47" s="1">
        <f t="shared" si="36"/>
        <v>-0.65388749999999995</v>
      </c>
      <c r="L47" s="1">
        <v>0</v>
      </c>
      <c r="T47" s="1"/>
      <c r="U47" s="1">
        <f t="shared" si="37"/>
        <v>0</v>
      </c>
      <c r="V47" s="1">
        <f t="shared" si="38"/>
        <v>0.95873169999999996</v>
      </c>
      <c r="AD47" s="1"/>
      <c r="AE47" s="1">
        <f t="shared" si="39"/>
        <v>0</v>
      </c>
      <c r="AF47" s="1">
        <f t="shared" si="40"/>
        <v>0.95873169999999996</v>
      </c>
      <c r="AO47" s="1">
        <f t="shared" si="41"/>
        <v>0</v>
      </c>
      <c r="AP47" s="1">
        <f t="shared" si="42"/>
        <v>0.95873169999999996</v>
      </c>
      <c r="AX47" s="1"/>
      <c r="AY47" s="1">
        <f t="shared" si="43"/>
        <v>0</v>
      </c>
      <c r="AZ47" s="1">
        <f t="shared" si="44"/>
        <v>0.95873169999999996</v>
      </c>
    </row>
    <row r="48" spans="1:52" x14ac:dyDescent="0.3">
      <c r="A48" s="2" t="s">
        <v>24</v>
      </c>
      <c r="E48" s="2">
        <v>88.237780000000001</v>
      </c>
      <c r="F48" s="2">
        <v>0.64805170000000001</v>
      </c>
      <c r="G48" s="2">
        <v>77.685810000000004</v>
      </c>
      <c r="H48" s="2">
        <v>96.144990000000007</v>
      </c>
      <c r="I48" s="2">
        <v>0.59653089999999998</v>
      </c>
      <c r="J48" s="1">
        <v>77.326030000000003</v>
      </c>
      <c r="K48" s="1">
        <f t="shared" si="36"/>
        <v>-0.64805170000000001</v>
      </c>
      <c r="L48" s="1">
        <v>0</v>
      </c>
      <c r="T48" s="1"/>
      <c r="U48" s="1">
        <f t="shared" si="37"/>
        <v>0</v>
      </c>
      <c r="V48" s="1">
        <f t="shared" si="38"/>
        <v>0.95873169999999996</v>
      </c>
      <c r="AD48" s="1"/>
      <c r="AE48" s="1">
        <f t="shared" si="39"/>
        <v>0</v>
      </c>
      <c r="AF48" s="1">
        <f t="shared" si="40"/>
        <v>0.95873169999999996</v>
      </c>
      <c r="AO48" s="1">
        <f t="shared" si="41"/>
        <v>0</v>
      </c>
      <c r="AP48" s="1">
        <f t="shared" si="42"/>
        <v>0.95873169999999996</v>
      </c>
      <c r="AX48" s="1"/>
      <c r="AY48" s="1">
        <f t="shared" si="43"/>
        <v>0</v>
      </c>
      <c r="AZ48" s="1">
        <f t="shared" si="44"/>
        <v>0.95873169999999996</v>
      </c>
    </row>
    <row r="49" spans="1:52" x14ac:dyDescent="0.3">
      <c r="A49" s="2" t="s">
        <v>27</v>
      </c>
      <c r="E49" s="2">
        <v>88.237780000000001</v>
      </c>
      <c r="F49" s="2">
        <v>0.63926260000000001</v>
      </c>
      <c r="G49" s="2">
        <v>78.626499999999993</v>
      </c>
      <c r="H49" s="2">
        <v>96.144990000000007</v>
      </c>
      <c r="I49" s="2">
        <v>0.58907560000000003</v>
      </c>
      <c r="J49" s="1">
        <v>78.271420000000006</v>
      </c>
      <c r="K49" s="1">
        <f t="shared" si="36"/>
        <v>-0.63926260000000001</v>
      </c>
      <c r="L49" s="1">
        <v>0</v>
      </c>
      <c r="T49" s="1"/>
      <c r="U49" s="1">
        <f t="shared" si="37"/>
        <v>0</v>
      </c>
      <c r="V49" s="1">
        <f t="shared" si="38"/>
        <v>0.95873169999999996</v>
      </c>
      <c r="AD49" s="1"/>
      <c r="AE49" s="1">
        <f t="shared" si="39"/>
        <v>0</v>
      </c>
      <c r="AF49" s="1">
        <f t="shared" si="40"/>
        <v>0.95873169999999996</v>
      </c>
      <c r="AO49" s="1">
        <f t="shared" si="41"/>
        <v>0</v>
      </c>
      <c r="AP49" s="1">
        <f t="shared" si="42"/>
        <v>0.95873169999999996</v>
      </c>
      <c r="AX49" s="1"/>
      <c r="AY49" s="1">
        <f t="shared" si="43"/>
        <v>0</v>
      </c>
      <c r="AZ49" s="1">
        <f t="shared" si="44"/>
        <v>0.95873169999999996</v>
      </c>
    </row>
    <row r="50" spans="1:52" x14ac:dyDescent="0.3">
      <c r="A50" s="2" t="s">
        <v>28</v>
      </c>
      <c r="E50" s="2">
        <v>79.525700000000001</v>
      </c>
      <c r="F50" s="2">
        <v>0.68881150000000002</v>
      </c>
      <c r="G50" s="2">
        <v>79.950710000000001</v>
      </c>
      <c r="H50" s="2">
        <v>85.870249999999999</v>
      </c>
      <c r="I50" s="2">
        <v>0.64155589999999996</v>
      </c>
      <c r="J50" s="1">
        <v>79.642049999999998</v>
      </c>
      <c r="K50" s="1">
        <f t="shared" si="36"/>
        <v>-0.68881150000000002</v>
      </c>
      <c r="L50" s="1">
        <v>0</v>
      </c>
      <c r="T50" s="1"/>
      <c r="U50" s="1">
        <f t="shared" si="37"/>
        <v>0</v>
      </c>
      <c r="V50" s="1">
        <f t="shared" si="38"/>
        <v>0.95873169999999996</v>
      </c>
      <c r="AD50" s="1"/>
      <c r="AE50" s="1">
        <f t="shared" si="39"/>
        <v>0</v>
      </c>
      <c r="AF50" s="1">
        <f t="shared" si="40"/>
        <v>0.95873169999999996</v>
      </c>
      <c r="AO50" s="1">
        <f t="shared" si="41"/>
        <v>0</v>
      </c>
      <c r="AP50" s="1">
        <f t="shared" si="42"/>
        <v>0.95873169999999996</v>
      </c>
      <c r="AX50" s="1"/>
      <c r="AY50" s="1">
        <f t="shared" si="43"/>
        <v>0</v>
      </c>
      <c r="AZ50" s="1">
        <f t="shared" si="44"/>
        <v>0.95873169999999996</v>
      </c>
    </row>
    <row r="51" spans="1:52" x14ac:dyDescent="0.3">
      <c r="A51" s="2" t="s">
        <v>29</v>
      </c>
      <c r="E51" s="2">
        <v>79.525700000000001</v>
      </c>
      <c r="F51" s="2">
        <v>0.66310999999999998</v>
      </c>
      <c r="G51" s="2">
        <v>80.785560000000004</v>
      </c>
      <c r="H51" s="2">
        <v>85.870249999999999</v>
      </c>
      <c r="I51" s="2">
        <v>0.61920269999999999</v>
      </c>
      <c r="J51" s="1">
        <v>80.488039999999998</v>
      </c>
      <c r="K51" s="1">
        <f t="shared" si="36"/>
        <v>-0.66310999999999998</v>
      </c>
      <c r="L51" s="1">
        <v>0</v>
      </c>
      <c r="T51" s="1"/>
      <c r="U51" s="1">
        <f t="shared" si="37"/>
        <v>0</v>
      </c>
      <c r="V51" s="1">
        <f t="shared" si="38"/>
        <v>0.95873169999999996</v>
      </c>
      <c r="AD51" s="1"/>
      <c r="AE51" s="1">
        <f t="shared" si="39"/>
        <v>0</v>
      </c>
      <c r="AF51" s="1">
        <f t="shared" si="40"/>
        <v>0.95873169999999996</v>
      </c>
      <c r="AO51" s="1">
        <f t="shared" si="41"/>
        <v>0</v>
      </c>
      <c r="AP51" s="1">
        <f t="shared" si="42"/>
        <v>0.95873169999999996</v>
      </c>
      <c r="AX51" s="1"/>
      <c r="AY51" s="1">
        <f t="shared" si="43"/>
        <v>0</v>
      </c>
      <c r="AZ51" s="1">
        <f t="shared" si="44"/>
        <v>0.95873169999999996</v>
      </c>
    </row>
    <row r="52" spans="1:52" x14ac:dyDescent="0.3">
      <c r="A52" s="2" t="s">
        <v>30</v>
      </c>
      <c r="E52" s="2">
        <v>79.525700000000001</v>
      </c>
      <c r="F52" s="2">
        <v>0.62876500000000002</v>
      </c>
      <c r="G52" s="2">
        <v>81.554580000000001</v>
      </c>
      <c r="H52" s="2">
        <v>85.870249999999999</v>
      </c>
      <c r="I52" s="2">
        <v>0.58915229999999996</v>
      </c>
      <c r="J52" s="1">
        <v>81.271979999999999</v>
      </c>
      <c r="K52" s="1">
        <f t="shared" si="36"/>
        <v>-0.62876500000000002</v>
      </c>
      <c r="L52" s="1">
        <v>0</v>
      </c>
      <c r="T52" s="1"/>
      <c r="U52" s="1">
        <f t="shared" si="37"/>
        <v>0</v>
      </c>
      <c r="V52" s="1">
        <f t="shared" si="38"/>
        <v>0.95873169999999996</v>
      </c>
      <c r="AD52" s="1"/>
      <c r="AE52" s="1">
        <f t="shared" si="39"/>
        <v>0</v>
      </c>
      <c r="AF52" s="1">
        <f t="shared" si="40"/>
        <v>0.95873169999999996</v>
      </c>
      <c r="AO52" s="1">
        <f t="shared" si="41"/>
        <v>0</v>
      </c>
      <c r="AP52" s="1">
        <f t="shared" si="42"/>
        <v>0.95873169999999996</v>
      </c>
      <c r="AX52" s="1"/>
      <c r="AY52" s="1">
        <f t="shared" si="43"/>
        <v>0</v>
      </c>
      <c r="AZ52" s="1">
        <f t="shared" si="44"/>
        <v>0.95873169999999996</v>
      </c>
    </row>
    <row r="53" spans="1:52" x14ac:dyDescent="0.3">
      <c r="A53" s="2" t="s">
        <v>31</v>
      </c>
      <c r="E53" s="2">
        <v>79.52431</v>
      </c>
      <c r="F53" s="2">
        <v>0.58052250000000005</v>
      </c>
      <c r="G53" s="2">
        <v>82.207899999999995</v>
      </c>
      <c r="H53" s="2">
        <v>85.868639999999999</v>
      </c>
      <c r="I53" s="2">
        <v>0.54659239999999998</v>
      </c>
      <c r="J53" s="1">
        <v>81.946340000000006</v>
      </c>
      <c r="K53" s="1">
        <f t="shared" si="36"/>
        <v>-0.58052250000000005</v>
      </c>
      <c r="L53" s="1">
        <v>0</v>
      </c>
      <c r="T53" s="1"/>
      <c r="U53" s="1">
        <f t="shared" si="37"/>
        <v>0</v>
      </c>
      <c r="V53" s="1">
        <f t="shared" si="38"/>
        <v>0.95873169999999996</v>
      </c>
      <c r="AD53" s="1"/>
      <c r="AE53" s="1">
        <f t="shared" si="39"/>
        <v>0</v>
      </c>
      <c r="AF53" s="1">
        <f t="shared" si="40"/>
        <v>0.95873169999999996</v>
      </c>
      <c r="AO53" s="1">
        <f t="shared" si="41"/>
        <v>0</v>
      </c>
      <c r="AP53" s="1">
        <f t="shared" si="42"/>
        <v>0.95873169999999996</v>
      </c>
      <c r="AX53" s="1"/>
      <c r="AY53" s="1">
        <f t="shared" si="43"/>
        <v>0</v>
      </c>
      <c r="AZ53" s="1">
        <f t="shared" si="44"/>
        <v>0.95873169999999996</v>
      </c>
    </row>
    <row r="54" spans="1:52" x14ac:dyDescent="0.3">
      <c r="A54" s="2" t="s">
        <v>32</v>
      </c>
      <c r="E54" s="2">
        <v>79.52431</v>
      </c>
      <c r="F54" s="2">
        <v>0.51666440000000002</v>
      </c>
      <c r="G54" s="2">
        <v>82.701790000000003</v>
      </c>
      <c r="H54" s="2">
        <v>85.868639999999999</v>
      </c>
      <c r="I54" s="2">
        <v>0.48961450000000001</v>
      </c>
      <c r="J54" s="1">
        <v>82.468249999999998</v>
      </c>
      <c r="K54" s="1">
        <f t="shared" si="36"/>
        <v>-0.51666440000000002</v>
      </c>
      <c r="L54" s="1">
        <v>0</v>
      </c>
      <c r="T54" s="1"/>
      <c r="U54" s="1">
        <f t="shared" si="37"/>
        <v>0</v>
      </c>
      <c r="V54" s="1">
        <f t="shared" si="38"/>
        <v>0.95873169999999996</v>
      </c>
      <c r="AD54" s="1"/>
      <c r="AE54" s="1">
        <f t="shared" si="39"/>
        <v>0</v>
      </c>
      <c r="AF54" s="1">
        <f t="shared" si="40"/>
        <v>0.95873169999999996</v>
      </c>
      <c r="AO54" s="1">
        <f t="shared" si="41"/>
        <v>0</v>
      </c>
      <c r="AP54" s="1">
        <f t="shared" si="42"/>
        <v>0.95873169999999996</v>
      </c>
      <c r="AX54" s="1"/>
      <c r="AY54" s="1">
        <f t="shared" si="43"/>
        <v>0</v>
      </c>
      <c r="AZ54" s="1">
        <f t="shared" si="44"/>
        <v>0.95873169999999996</v>
      </c>
    </row>
    <row r="55" spans="1:52" x14ac:dyDescent="0.3">
      <c r="A55" s="2" t="s">
        <v>33</v>
      </c>
      <c r="E55" s="2">
        <v>79.52431</v>
      </c>
      <c r="F55" s="2">
        <v>0.44679360000000001</v>
      </c>
      <c r="G55" s="2">
        <v>83.070769999999996</v>
      </c>
      <c r="H55" s="2">
        <v>85.868639999999999</v>
      </c>
      <c r="I55" s="2">
        <v>0.42642089999999999</v>
      </c>
      <c r="J55" s="1">
        <v>82.868089999999995</v>
      </c>
      <c r="K55" s="1">
        <f t="shared" si="36"/>
        <v>-0.44679360000000001</v>
      </c>
      <c r="L55" s="1">
        <v>0</v>
      </c>
      <c r="T55" s="1"/>
      <c r="U55" s="1">
        <f t="shared" si="37"/>
        <v>0</v>
      </c>
      <c r="V55" s="1">
        <f t="shared" si="38"/>
        <v>0.95873169999999996</v>
      </c>
      <c r="AD55" s="1"/>
      <c r="AE55" s="1">
        <f t="shared" si="39"/>
        <v>0</v>
      </c>
      <c r="AF55" s="1">
        <f t="shared" si="40"/>
        <v>0.95873169999999996</v>
      </c>
      <c r="AO55" s="1">
        <f t="shared" si="41"/>
        <v>0</v>
      </c>
      <c r="AP55" s="1">
        <f t="shared" si="42"/>
        <v>0.95873169999999996</v>
      </c>
      <c r="AX55" s="1"/>
      <c r="AY55" s="1">
        <f t="shared" si="43"/>
        <v>0</v>
      </c>
      <c r="AZ55" s="1">
        <f t="shared" si="44"/>
        <v>0.95873169999999996</v>
      </c>
    </row>
    <row r="56" spans="1:52" x14ac:dyDescent="0.3">
      <c r="A56" s="2" t="s">
        <v>34</v>
      </c>
      <c r="E56" s="2">
        <v>79.52431</v>
      </c>
      <c r="F56" s="2">
        <v>0.37264940000000002</v>
      </c>
      <c r="G56" s="2">
        <v>83.282709999999994</v>
      </c>
      <c r="H56" s="2">
        <v>85.868639999999999</v>
      </c>
      <c r="I56" s="2">
        <v>0.3583693</v>
      </c>
      <c r="J56" s="1">
        <v>83.113010000000003</v>
      </c>
      <c r="K56" s="1">
        <f t="shared" si="36"/>
        <v>-0.37264940000000002</v>
      </c>
      <c r="L56" s="1">
        <v>0</v>
      </c>
      <c r="T56" s="1"/>
      <c r="U56" s="1">
        <f t="shared" si="37"/>
        <v>0</v>
      </c>
      <c r="V56" s="1">
        <f t="shared" si="38"/>
        <v>0.95873169999999996</v>
      </c>
      <c r="AD56" s="1"/>
      <c r="AE56" s="1">
        <f t="shared" si="39"/>
        <v>0</v>
      </c>
      <c r="AF56" s="1">
        <f t="shared" si="40"/>
        <v>0.95873169999999996</v>
      </c>
      <c r="AO56" s="1">
        <f t="shared" si="41"/>
        <v>0</v>
      </c>
      <c r="AP56" s="1">
        <f t="shared" si="42"/>
        <v>0.95873169999999996</v>
      </c>
      <c r="AX56" s="1"/>
      <c r="AY56" s="1">
        <f t="shared" si="43"/>
        <v>0</v>
      </c>
      <c r="AZ56" s="1">
        <f t="shared" si="44"/>
        <v>0.95873169999999996</v>
      </c>
    </row>
    <row r="57" spans="1:52" x14ac:dyDescent="0.3">
      <c r="A57" s="2" t="s">
        <v>35</v>
      </c>
      <c r="E57" s="2">
        <v>79.52431</v>
      </c>
      <c r="F57" s="2">
        <v>0.29403839999999998</v>
      </c>
      <c r="G57" s="2">
        <v>83.253749999999997</v>
      </c>
      <c r="H57" s="2">
        <v>85.868639999999999</v>
      </c>
      <c r="I57" s="2">
        <v>0.28507519999999997</v>
      </c>
      <c r="J57" s="1">
        <v>83.119290000000007</v>
      </c>
      <c r="K57" s="1">
        <f t="shared" si="36"/>
        <v>-0.29403839999999998</v>
      </c>
      <c r="L57" s="1">
        <v>0</v>
      </c>
      <c r="T57" s="1"/>
      <c r="U57" s="1">
        <f t="shared" si="37"/>
        <v>0</v>
      </c>
      <c r="V57" s="1">
        <f t="shared" si="38"/>
        <v>0.95873169999999996</v>
      </c>
      <c r="AD57" s="1"/>
      <c r="AE57" s="1">
        <f t="shared" si="39"/>
        <v>0</v>
      </c>
      <c r="AF57" s="1">
        <f t="shared" si="40"/>
        <v>0.95873169999999996</v>
      </c>
      <c r="AO57" s="1">
        <f t="shared" si="41"/>
        <v>0</v>
      </c>
      <c r="AP57" s="1">
        <f t="shared" si="42"/>
        <v>0.95873169999999996</v>
      </c>
      <c r="AX57" s="1"/>
      <c r="AY57" s="1">
        <f t="shared" si="43"/>
        <v>0</v>
      </c>
      <c r="AZ57" s="1">
        <f t="shared" si="44"/>
        <v>0.95873169999999996</v>
      </c>
    </row>
    <row r="58" spans="1:52" x14ac:dyDescent="0.3">
      <c r="A58" s="3" t="s">
        <v>36</v>
      </c>
      <c r="B58" s="3"/>
      <c r="C58" s="14"/>
      <c r="D58" s="3"/>
      <c r="E58" s="3">
        <v>79.52431</v>
      </c>
      <c r="F58" s="3">
        <v>0.23238700000000001</v>
      </c>
      <c r="G58" s="3">
        <v>83.231830000000002</v>
      </c>
      <c r="H58" s="3">
        <v>85.868639999999999</v>
      </c>
      <c r="I58" s="3">
        <v>0.22675239999999999</v>
      </c>
      <c r="J58" s="4">
        <v>83.125230000000002</v>
      </c>
      <c r="K58" s="1">
        <f t="shared" si="36"/>
        <v>-0.23238700000000001</v>
      </c>
      <c r="L58" s="1">
        <v>0</v>
      </c>
      <c r="M58" s="14"/>
      <c r="N58" s="3"/>
      <c r="O58" s="3"/>
      <c r="P58" s="3"/>
      <c r="Q58" s="3"/>
      <c r="R58" s="3"/>
      <c r="S58" s="3"/>
      <c r="T58" s="4"/>
      <c r="U58" s="1">
        <f t="shared" si="37"/>
        <v>0</v>
      </c>
      <c r="V58" s="1">
        <f t="shared" si="38"/>
        <v>0.95873169999999996</v>
      </c>
      <c r="W58" s="14"/>
      <c r="X58" s="3"/>
      <c r="Y58" s="3"/>
      <c r="Z58" s="3"/>
      <c r="AA58" s="3"/>
      <c r="AB58" s="3"/>
      <c r="AC58" s="3"/>
      <c r="AD58" s="4"/>
      <c r="AE58" s="1">
        <f t="shared" si="39"/>
        <v>0</v>
      </c>
      <c r="AF58" s="1">
        <f t="shared" si="40"/>
        <v>0.95873169999999996</v>
      </c>
      <c r="AG58" s="14"/>
      <c r="AH58" s="3"/>
      <c r="AI58" s="3"/>
      <c r="AJ58" s="3"/>
      <c r="AK58" s="3"/>
      <c r="AL58" s="3"/>
      <c r="AM58" s="3"/>
      <c r="AN58" s="3"/>
      <c r="AO58" s="1">
        <f t="shared" si="41"/>
        <v>0</v>
      </c>
      <c r="AP58" s="1">
        <f t="shared" si="42"/>
        <v>0.95873169999999996</v>
      </c>
      <c r="AQ58" s="14"/>
      <c r="AR58" s="3"/>
      <c r="AS58" s="3"/>
      <c r="AT58" s="3"/>
      <c r="AU58" s="3"/>
      <c r="AV58" s="3"/>
      <c r="AW58" s="3"/>
      <c r="AX58" s="4"/>
      <c r="AY58" s="1">
        <f t="shared" si="43"/>
        <v>0</v>
      </c>
      <c r="AZ58" s="1">
        <f t="shared" si="44"/>
        <v>0.95873169999999996</v>
      </c>
    </row>
    <row r="59" spans="1:52" ht="15" thickBot="1" x14ac:dyDescent="0.35">
      <c r="A59" s="15" t="s">
        <v>49</v>
      </c>
      <c r="B59" s="16">
        <f>SUM(B32:B58)/27</f>
        <v>0</v>
      </c>
      <c r="C59" s="17"/>
      <c r="D59" s="16">
        <f>SUM(D32:D58)/27</f>
        <v>0</v>
      </c>
      <c r="E59" s="16">
        <f t="shared" ref="E59" si="45">SUM(E32:E58)/27</f>
        <v>78.362477777777769</v>
      </c>
      <c r="F59" s="16">
        <f t="shared" ref="F59" si="46">SUM(F32:F58)/27</f>
        <v>0.68747657037037035</v>
      </c>
      <c r="G59" s="16">
        <f t="shared" ref="G59" si="47">SUM(G32:G58)/27</f>
        <v>74.694066666666671</v>
      </c>
      <c r="H59" s="16">
        <f t="shared" ref="H59" si="48">SUM(H32:H58)/27</f>
        <v>84.722682222222204</v>
      </c>
      <c r="I59" s="16">
        <f t="shared" ref="I59" si="49">SUM(I32:I58)/27</f>
        <v>0.6426835481481481</v>
      </c>
      <c r="J59" s="16">
        <f t="shared" ref="J59" si="50">SUM(J32:J58)/27</f>
        <v>74.405247777777774</v>
      </c>
      <c r="K59" s="16">
        <f t="shared" ref="K59" si="51">SUM(K32:K58)/27</f>
        <v>-0.68747657037037035</v>
      </c>
      <c r="L59" s="16">
        <f t="shared" ref="L59" si="52">SUM(L32:L58)/27</f>
        <v>0</v>
      </c>
      <c r="M59" s="17"/>
      <c r="N59" s="16">
        <f>SUM(N32:N58)/27</f>
        <v>0</v>
      </c>
      <c r="O59" s="16">
        <f t="shared" ref="O59" si="53">SUM(O32:O58)/27</f>
        <v>0</v>
      </c>
      <c r="P59" s="16">
        <f t="shared" ref="P59" si="54">SUM(P32:P58)/27</f>
        <v>0</v>
      </c>
      <c r="Q59" s="16">
        <f t="shared" ref="Q59" si="55">SUM(Q32:Q58)/27</f>
        <v>0</v>
      </c>
      <c r="R59" s="16">
        <f t="shared" ref="R59" si="56">SUM(R32:R58)/27</f>
        <v>0</v>
      </c>
      <c r="S59" s="16">
        <f t="shared" ref="S59" si="57">SUM(S32:S58)/27</f>
        <v>0</v>
      </c>
      <c r="T59" s="16">
        <f t="shared" ref="T59" si="58">SUM(T32:T58)/27</f>
        <v>0</v>
      </c>
      <c r="U59" s="16">
        <f t="shared" ref="U59" si="59">SUM(U32:U58)/27</f>
        <v>0</v>
      </c>
      <c r="V59" s="1">
        <f t="shared" si="38"/>
        <v>0.95873169999999996</v>
      </c>
      <c r="W59" s="17"/>
      <c r="X59" s="16">
        <f>SUM(X32:X58)/27</f>
        <v>0</v>
      </c>
      <c r="Y59" s="16">
        <f t="shared" ref="Y59" si="60">SUM(Y32:Y58)/27</f>
        <v>0</v>
      </c>
      <c r="Z59" s="16">
        <f t="shared" ref="Z59" si="61">SUM(Z32:Z58)/27</f>
        <v>0</v>
      </c>
      <c r="AA59" s="16">
        <f t="shared" ref="AA59" si="62">SUM(AA32:AA58)/27</f>
        <v>0</v>
      </c>
      <c r="AB59" s="16">
        <f t="shared" ref="AB59" si="63">SUM(AB32:AB58)/27</f>
        <v>0</v>
      </c>
      <c r="AC59" s="16">
        <f t="shared" ref="AC59" si="64">SUM(AC32:AC58)/27</f>
        <v>0</v>
      </c>
      <c r="AD59" s="16">
        <f t="shared" ref="AD59" si="65">SUM(AD32:AD58)/27</f>
        <v>0</v>
      </c>
      <c r="AE59" s="16">
        <f t="shared" ref="AE59" si="66">SUM(AE32:AE58)/27</f>
        <v>0</v>
      </c>
      <c r="AF59" s="16">
        <f t="shared" ref="AF59" si="67">SUM(AF32:AF58)/27</f>
        <v>0.9587317000000003</v>
      </c>
      <c r="AG59" s="17"/>
      <c r="AH59" s="16">
        <f>SUM(AH32:AH58)/27</f>
        <v>0</v>
      </c>
      <c r="AI59" s="16">
        <f t="shared" ref="AI59" si="68">SUM(AI32:AI58)/27</f>
        <v>0</v>
      </c>
      <c r="AJ59" s="16">
        <f t="shared" ref="AJ59" si="69">SUM(AJ32:AJ58)/27</f>
        <v>0</v>
      </c>
      <c r="AK59" s="16">
        <f t="shared" ref="AK59" si="70">SUM(AK32:AK58)/27</f>
        <v>0</v>
      </c>
      <c r="AL59" s="16">
        <f t="shared" ref="AL59" si="71">SUM(AL32:AL58)/27</f>
        <v>0</v>
      </c>
      <c r="AM59" s="16">
        <f t="shared" ref="AM59" si="72">SUM(AM32:AM58)/27</f>
        <v>0</v>
      </c>
      <c r="AN59" s="16">
        <f t="shared" ref="AN59" si="73">SUM(AN32:AN58)/27</f>
        <v>0</v>
      </c>
      <c r="AO59" s="16">
        <f t="shared" ref="AO59" si="74">SUM(AO32:AO58)/27</f>
        <v>0</v>
      </c>
      <c r="AP59" s="16">
        <f t="shared" ref="AP59" si="75">SUM(AP32:AP58)/27</f>
        <v>0.9587317000000003</v>
      </c>
      <c r="AQ59" s="17"/>
      <c r="AR59" s="16">
        <f>SUM(AR32:AR58)/27</f>
        <v>0</v>
      </c>
      <c r="AS59" s="16">
        <f t="shared" ref="AS59" si="76">SUM(AS32:AS58)/27</f>
        <v>0</v>
      </c>
      <c r="AT59" s="16">
        <f t="shared" ref="AT59" si="77">SUM(AT32:AT58)/27</f>
        <v>0</v>
      </c>
      <c r="AU59" s="16">
        <f t="shared" ref="AU59" si="78">SUM(AU32:AU58)/27</f>
        <v>0</v>
      </c>
      <c r="AV59" s="16">
        <f t="shared" ref="AV59" si="79">SUM(AV32:AV58)/27</f>
        <v>0</v>
      </c>
      <c r="AW59" s="16">
        <f t="shared" ref="AW59" si="80">SUM(AW32:AW58)/27</f>
        <v>0</v>
      </c>
      <c r="AX59" s="16">
        <f t="shared" ref="AX59" si="81">SUM(AX32:AX58)/27</f>
        <v>0</v>
      </c>
      <c r="AY59" s="16">
        <f t="shared" ref="AY59" si="82">SUM(AY32:AY58)/27</f>
        <v>0</v>
      </c>
      <c r="AZ59" s="16">
        <f t="shared" ref="AZ59" si="83">SUM(AZ32:AZ58)/27</f>
        <v>0.9587317000000003</v>
      </c>
    </row>
    <row r="60" spans="1:52" s="10" customFormat="1" ht="15" thickBot="1" x14ac:dyDescent="0.35">
      <c r="A60" s="9" t="s">
        <v>42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</row>
    <row r="61" spans="1:52" x14ac:dyDescent="0.3">
      <c r="A61" s="1" t="s">
        <v>10</v>
      </c>
      <c r="B61" s="1"/>
      <c r="C61" s="11"/>
      <c r="D61" s="1"/>
      <c r="E61" s="1">
        <v>61.85772</v>
      </c>
      <c r="F61" s="1">
        <v>0.95875049999999995</v>
      </c>
      <c r="G61" s="1">
        <v>63.386760000000002</v>
      </c>
      <c r="H61" s="1">
        <v>65.606300000000005</v>
      </c>
      <c r="I61" s="1">
        <v>0.90399180000000001</v>
      </c>
      <c r="J61" s="1">
        <v>63.131349999999998</v>
      </c>
      <c r="K61" s="1">
        <f>B61-F61</f>
        <v>-0.95875049999999995</v>
      </c>
      <c r="L61" s="1">
        <v>0</v>
      </c>
      <c r="M61" s="11"/>
      <c r="N61" s="1"/>
      <c r="O61" s="1"/>
      <c r="P61" s="1"/>
      <c r="Q61" s="1"/>
      <c r="R61" s="1"/>
      <c r="S61" s="1"/>
      <c r="T61" s="1"/>
      <c r="U61" s="1">
        <f>$B$3-P61</f>
        <v>0</v>
      </c>
      <c r="V61" s="1">
        <f>$F$3-P61</f>
        <v>0.95873169999999996</v>
      </c>
      <c r="W61" s="11"/>
      <c r="X61" s="1"/>
      <c r="Y61" s="1"/>
      <c r="Z61" s="1"/>
      <c r="AA61" s="1"/>
      <c r="AB61" s="1"/>
      <c r="AC61" s="1"/>
      <c r="AD61" s="1"/>
      <c r="AE61" s="1">
        <f>$B$3-Z61</f>
        <v>0</v>
      </c>
      <c r="AF61" s="1">
        <f>$F$3-Z61</f>
        <v>0.95873169999999996</v>
      </c>
      <c r="AG61" s="11"/>
      <c r="AH61" s="1"/>
      <c r="AI61" s="1"/>
      <c r="AJ61" s="1"/>
      <c r="AK61" s="1"/>
      <c r="AL61" s="1"/>
      <c r="AM61" s="1"/>
      <c r="AN61" s="1"/>
      <c r="AO61" s="1">
        <f>$B$3-AJ61</f>
        <v>0</v>
      </c>
      <c r="AP61" s="1">
        <f>$F$3-AJ61</f>
        <v>0.95873169999999996</v>
      </c>
      <c r="AQ61" s="11"/>
      <c r="AR61" s="1"/>
      <c r="AS61" s="1"/>
      <c r="AT61" s="1"/>
      <c r="AU61" s="1"/>
      <c r="AV61" s="1"/>
      <c r="AW61" s="1"/>
      <c r="AX61" s="1"/>
      <c r="AY61" s="1">
        <f>$B$3-AT61</f>
        <v>0</v>
      </c>
      <c r="AZ61" s="1">
        <f>$F$3-AT61</f>
        <v>0.95873169999999996</v>
      </c>
    </row>
    <row r="62" spans="1:52" x14ac:dyDescent="0.3">
      <c r="A62" s="2" t="s">
        <v>11</v>
      </c>
      <c r="E62" s="2">
        <v>61.85772</v>
      </c>
      <c r="F62" s="2">
        <v>0.95852009999999999</v>
      </c>
      <c r="G62" s="2">
        <v>64.385710000000003</v>
      </c>
      <c r="H62" s="2">
        <v>65.606300000000005</v>
      </c>
      <c r="I62" s="2">
        <v>0.90378689999999995</v>
      </c>
      <c r="J62" s="1">
        <v>64.130359999999996</v>
      </c>
      <c r="K62" s="1">
        <f t="shared" ref="K62:K87" si="84">B62-F62</f>
        <v>-0.95852009999999999</v>
      </c>
      <c r="L62" s="1">
        <v>0</v>
      </c>
      <c r="T62" s="1"/>
      <c r="U62" s="1">
        <f t="shared" ref="U62:U87" si="85">$B$3-P62</f>
        <v>0</v>
      </c>
      <c r="V62" s="1">
        <f t="shared" ref="V62:V88" si="86">$F$3-P62</f>
        <v>0.95873169999999996</v>
      </c>
      <c r="AD62" s="1"/>
      <c r="AE62" s="1">
        <f t="shared" ref="AE62:AE87" si="87">$B$3-Z62</f>
        <v>0</v>
      </c>
      <c r="AF62" s="1">
        <f t="shared" ref="AF62:AF87" si="88">$F$3-Z62</f>
        <v>0.95873169999999996</v>
      </c>
      <c r="AO62" s="1">
        <f t="shared" ref="AO62:AO87" si="89">$B$3-AJ62</f>
        <v>0</v>
      </c>
      <c r="AP62" s="1">
        <f t="shared" ref="AP62:AP87" si="90">$F$3-AJ62</f>
        <v>0.95873169999999996</v>
      </c>
      <c r="AX62" s="1"/>
      <c r="AY62" s="1">
        <f t="shared" ref="AY62:AY87" si="91">$B$3-AT62</f>
        <v>0</v>
      </c>
      <c r="AZ62" s="1">
        <f t="shared" ref="AZ62:AZ87" si="92">$F$3-AT62</f>
        <v>0.95873169999999996</v>
      </c>
    </row>
    <row r="63" spans="1:52" x14ac:dyDescent="0.3">
      <c r="A63" s="2" t="s">
        <v>12</v>
      </c>
      <c r="E63" s="2">
        <v>61.85772</v>
      </c>
      <c r="F63" s="2">
        <v>0.95815110000000003</v>
      </c>
      <c r="G63" s="2">
        <v>65.384050000000002</v>
      </c>
      <c r="H63" s="2">
        <v>65.606300000000005</v>
      </c>
      <c r="I63" s="2">
        <v>0.90345880000000001</v>
      </c>
      <c r="J63" s="1">
        <v>65.128780000000006</v>
      </c>
      <c r="K63" s="1">
        <f t="shared" si="84"/>
        <v>-0.95815110000000003</v>
      </c>
      <c r="L63" s="1">
        <v>0</v>
      </c>
      <c r="T63" s="1"/>
      <c r="U63" s="1">
        <f t="shared" si="85"/>
        <v>0</v>
      </c>
      <c r="V63" s="1">
        <f t="shared" si="86"/>
        <v>0.95873169999999996</v>
      </c>
      <c r="AD63" s="1"/>
      <c r="AE63" s="1">
        <f t="shared" si="87"/>
        <v>0</v>
      </c>
      <c r="AF63" s="1">
        <f t="shared" si="88"/>
        <v>0.95873169999999996</v>
      </c>
      <c r="AO63" s="1">
        <f t="shared" si="89"/>
        <v>0</v>
      </c>
      <c r="AP63" s="1">
        <f t="shared" si="90"/>
        <v>0.95873169999999996</v>
      </c>
      <c r="AX63" s="1"/>
      <c r="AY63" s="1">
        <f t="shared" si="91"/>
        <v>0</v>
      </c>
      <c r="AZ63" s="1">
        <f t="shared" si="92"/>
        <v>0.95873169999999996</v>
      </c>
    </row>
    <row r="64" spans="1:52" x14ac:dyDescent="0.3">
      <c r="A64" s="2" t="s">
        <v>15</v>
      </c>
      <c r="E64" s="2">
        <v>61.885559999999998</v>
      </c>
      <c r="F64" s="2">
        <v>0.95720079999999996</v>
      </c>
      <c r="G64" s="2">
        <v>66.379739999999998</v>
      </c>
      <c r="H64" s="2">
        <v>65.637690000000006</v>
      </c>
      <c r="I64" s="2">
        <v>0.90256519999999996</v>
      </c>
      <c r="J64" s="1">
        <v>66.124489999999994</v>
      </c>
      <c r="K64" s="1">
        <f t="shared" si="84"/>
        <v>-0.95720079999999996</v>
      </c>
      <c r="L64" s="1">
        <v>0</v>
      </c>
      <c r="T64" s="1"/>
      <c r="U64" s="1">
        <f t="shared" si="85"/>
        <v>0</v>
      </c>
      <c r="V64" s="1">
        <f t="shared" si="86"/>
        <v>0.95873169999999996</v>
      </c>
      <c r="AD64" s="1"/>
      <c r="AE64" s="1">
        <f t="shared" si="87"/>
        <v>0</v>
      </c>
      <c r="AF64" s="1">
        <f t="shared" si="88"/>
        <v>0.95873169999999996</v>
      </c>
      <c r="AO64" s="1">
        <f t="shared" si="89"/>
        <v>0</v>
      </c>
      <c r="AP64" s="1">
        <f t="shared" si="90"/>
        <v>0.95873169999999996</v>
      </c>
      <c r="AX64" s="1"/>
      <c r="AY64" s="1">
        <f t="shared" si="91"/>
        <v>0</v>
      </c>
      <c r="AZ64" s="1">
        <f t="shared" si="92"/>
        <v>0.95873169999999996</v>
      </c>
    </row>
    <row r="65" spans="1:52" x14ac:dyDescent="0.3">
      <c r="A65" s="2" t="s">
        <v>16</v>
      </c>
      <c r="E65" s="2">
        <v>61.885559999999998</v>
      </c>
      <c r="F65" s="2">
        <v>0.95644589999999996</v>
      </c>
      <c r="G65" s="2">
        <v>67.376310000000004</v>
      </c>
      <c r="H65" s="2">
        <v>65.637690000000006</v>
      </c>
      <c r="I65" s="2">
        <v>0.90189399999999997</v>
      </c>
      <c r="J65" s="1">
        <v>67.121260000000007</v>
      </c>
      <c r="K65" s="1">
        <f t="shared" si="84"/>
        <v>-0.95644589999999996</v>
      </c>
      <c r="L65" s="1">
        <v>0</v>
      </c>
      <c r="T65" s="1"/>
      <c r="U65" s="1">
        <f t="shared" si="85"/>
        <v>0</v>
      </c>
      <c r="V65" s="1">
        <f t="shared" si="86"/>
        <v>0.95873169999999996</v>
      </c>
      <c r="AD65" s="1"/>
      <c r="AE65" s="1">
        <f t="shared" si="87"/>
        <v>0</v>
      </c>
      <c r="AF65" s="1">
        <f t="shared" si="88"/>
        <v>0.95873169999999996</v>
      </c>
      <c r="AO65" s="1">
        <f t="shared" si="89"/>
        <v>0</v>
      </c>
      <c r="AP65" s="1">
        <f t="shared" si="90"/>
        <v>0.95873169999999996</v>
      </c>
      <c r="AX65" s="1"/>
      <c r="AY65" s="1">
        <f t="shared" si="91"/>
        <v>0</v>
      </c>
      <c r="AZ65" s="1">
        <f t="shared" si="92"/>
        <v>0.95873169999999996</v>
      </c>
    </row>
    <row r="66" spans="1:52" x14ac:dyDescent="0.3">
      <c r="A66" s="2" t="s">
        <v>25</v>
      </c>
      <c r="E66" s="2">
        <v>61.885559999999998</v>
      </c>
      <c r="F66" s="2">
        <v>0.95525369999999998</v>
      </c>
      <c r="G66" s="2">
        <v>68.370890000000003</v>
      </c>
      <c r="H66" s="2">
        <v>65.637690000000006</v>
      </c>
      <c r="I66" s="2">
        <v>0.90083369999999996</v>
      </c>
      <c r="J66" s="1">
        <v>68.116150000000005</v>
      </c>
      <c r="K66" s="1">
        <f t="shared" si="84"/>
        <v>-0.95525369999999998</v>
      </c>
      <c r="L66" s="1">
        <v>0</v>
      </c>
      <c r="T66" s="1"/>
      <c r="U66" s="1">
        <f t="shared" si="85"/>
        <v>0</v>
      </c>
      <c r="V66" s="1">
        <f t="shared" si="86"/>
        <v>0.95873169999999996</v>
      </c>
      <c r="AD66" s="1"/>
      <c r="AE66" s="1">
        <f t="shared" si="87"/>
        <v>0</v>
      </c>
      <c r="AF66" s="1">
        <f t="shared" si="88"/>
        <v>0.95873169999999996</v>
      </c>
      <c r="AO66" s="1">
        <f t="shared" si="89"/>
        <v>0</v>
      </c>
      <c r="AP66" s="1">
        <f t="shared" si="90"/>
        <v>0.95873169999999996</v>
      </c>
      <c r="AX66" s="1"/>
      <c r="AY66" s="1">
        <f t="shared" si="91"/>
        <v>0</v>
      </c>
      <c r="AZ66" s="1">
        <f t="shared" si="92"/>
        <v>0.95873169999999996</v>
      </c>
    </row>
    <row r="67" spans="1:52" x14ac:dyDescent="0.3">
      <c r="A67" s="2" t="s">
        <v>17</v>
      </c>
      <c r="E67" s="2">
        <v>64.886200000000002</v>
      </c>
      <c r="F67" s="2">
        <v>0.90990420000000005</v>
      </c>
      <c r="G67" s="2">
        <v>69.159670000000006</v>
      </c>
      <c r="H67" s="2">
        <v>69.02704</v>
      </c>
      <c r="I67" s="2">
        <v>0.855572</v>
      </c>
      <c r="J67" s="1">
        <v>68.892269999999996</v>
      </c>
      <c r="K67" s="1">
        <f t="shared" si="84"/>
        <v>-0.90990420000000005</v>
      </c>
      <c r="L67" s="1">
        <v>0</v>
      </c>
      <c r="T67" s="1"/>
      <c r="U67" s="1">
        <f t="shared" si="85"/>
        <v>0</v>
      </c>
      <c r="V67" s="1">
        <f t="shared" si="86"/>
        <v>0.95873169999999996</v>
      </c>
      <c r="AD67" s="1"/>
      <c r="AE67" s="1">
        <f t="shared" si="87"/>
        <v>0</v>
      </c>
      <c r="AF67" s="1">
        <f t="shared" si="88"/>
        <v>0.95873169999999996</v>
      </c>
      <c r="AO67" s="1">
        <f t="shared" si="89"/>
        <v>0</v>
      </c>
      <c r="AP67" s="1">
        <f t="shared" si="90"/>
        <v>0.95873169999999996</v>
      </c>
      <c r="AX67" s="1"/>
      <c r="AY67" s="1">
        <f t="shared" si="91"/>
        <v>0</v>
      </c>
      <c r="AZ67" s="1">
        <f t="shared" si="92"/>
        <v>0.95873169999999996</v>
      </c>
    </row>
    <row r="68" spans="1:52" x14ac:dyDescent="0.3">
      <c r="A68" s="2" t="s">
        <v>18</v>
      </c>
      <c r="E68" s="2">
        <v>64.886200000000002</v>
      </c>
      <c r="F68" s="2">
        <v>0.9082422</v>
      </c>
      <c r="G68" s="2">
        <v>70.151719999999997</v>
      </c>
      <c r="H68" s="2">
        <v>69.02704</v>
      </c>
      <c r="I68" s="2">
        <v>0.85410240000000004</v>
      </c>
      <c r="J68" s="1">
        <v>69.884799999999998</v>
      </c>
      <c r="K68" s="1">
        <f t="shared" si="84"/>
        <v>-0.9082422</v>
      </c>
      <c r="L68" s="1">
        <v>0</v>
      </c>
      <c r="T68" s="1"/>
      <c r="U68" s="1">
        <f t="shared" si="85"/>
        <v>0</v>
      </c>
      <c r="V68" s="1">
        <f t="shared" si="86"/>
        <v>0.95873169999999996</v>
      </c>
      <c r="AD68" s="1"/>
      <c r="AE68" s="1">
        <f t="shared" si="87"/>
        <v>0</v>
      </c>
      <c r="AF68" s="1">
        <f t="shared" si="88"/>
        <v>0.95873169999999996</v>
      </c>
      <c r="AO68" s="1">
        <f t="shared" si="89"/>
        <v>0</v>
      </c>
      <c r="AP68" s="1">
        <f t="shared" si="90"/>
        <v>0.95873169999999996</v>
      </c>
      <c r="AX68" s="1"/>
      <c r="AY68" s="1">
        <f t="shared" si="91"/>
        <v>0</v>
      </c>
      <c r="AZ68" s="1">
        <f t="shared" si="92"/>
        <v>0.95873169999999996</v>
      </c>
    </row>
    <row r="69" spans="1:52" x14ac:dyDescent="0.3">
      <c r="A69" s="2" t="s">
        <v>19</v>
      </c>
      <c r="E69" s="2">
        <v>64.886200000000002</v>
      </c>
      <c r="F69" s="2">
        <v>0.90622440000000004</v>
      </c>
      <c r="G69" s="2">
        <v>71.142060000000001</v>
      </c>
      <c r="H69" s="2">
        <v>69.02704</v>
      </c>
      <c r="I69" s="2">
        <v>0.85231780000000001</v>
      </c>
      <c r="J69" s="1">
        <v>70.875720000000001</v>
      </c>
      <c r="K69" s="1">
        <f t="shared" si="84"/>
        <v>-0.90622440000000004</v>
      </c>
      <c r="L69" s="1">
        <v>0</v>
      </c>
      <c r="T69" s="1"/>
      <c r="U69" s="1">
        <f t="shared" si="85"/>
        <v>0</v>
      </c>
      <c r="V69" s="1">
        <f t="shared" si="86"/>
        <v>0.95873169999999996</v>
      </c>
      <c r="AD69" s="1"/>
      <c r="AE69" s="1">
        <f t="shared" si="87"/>
        <v>0</v>
      </c>
      <c r="AF69" s="1">
        <f t="shared" si="88"/>
        <v>0.95873169999999996</v>
      </c>
      <c r="AO69" s="1">
        <f t="shared" si="89"/>
        <v>0</v>
      </c>
      <c r="AP69" s="1">
        <f t="shared" si="90"/>
        <v>0.95873169999999996</v>
      </c>
      <c r="AX69" s="1"/>
      <c r="AY69" s="1">
        <f t="shared" si="91"/>
        <v>0</v>
      </c>
      <c r="AZ69" s="1">
        <f t="shared" si="92"/>
        <v>0.95873169999999996</v>
      </c>
    </row>
    <row r="70" spans="1:52" x14ac:dyDescent="0.3">
      <c r="A70" s="2" t="s">
        <v>20</v>
      </c>
      <c r="E70" s="2">
        <v>103.3588</v>
      </c>
      <c r="F70" s="2">
        <v>0.56989259999999997</v>
      </c>
      <c r="G70" s="2">
        <v>70.127629999999996</v>
      </c>
      <c r="H70" s="2">
        <v>114.4448</v>
      </c>
      <c r="I70" s="2">
        <v>0.51504830000000001</v>
      </c>
      <c r="J70" s="1">
        <v>69.688180000000003</v>
      </c>
      <c r="K70" s="1">
        <f t="shared" si="84"/>
        <v>-0.56989259999999997</v>
      </c>
      <c r="L70" s="1">
        <v>0</v>
      </c>
      <c r="T70" s="1"/>
      <c r="U70" s="1">
        <f t="shared" si="85"/>
        <v>0</v>
      </c>
      <c r="V70" s="1">
        <f t="shared" si="86"/>
        <v>0.95873169999999996</v>
      </c>
      <c r="AD70" s="1"/>
      <c r="AE70" s="1">
        <f t="shared" si="87"/>
        <v>0</v>
      </c>
      <c r="AF70" s="1">
        <f t="shared" si="88"/>
        <v>0.95873169999999996</v>
      </c>
      <c r="AO70" s="1">
        <f t="shared" si="89"/>
        <v>0</v>
      </c>
      <c r="AP70" s="1">
        <f t="shared" si="90"/>
        <v>0.95873169999999996</v>
      </c>
      <c r="AX70" s="1"/>
      <c r="AY70" s="1">
        <f t="shared" si="91"/>
        <v>0</v>
      </c>
      <c r="AZ70" s="1">
        <f t="shared" si="92"/>
        <v>0.95873169999999996</v>
      </c>
    </row>
    <row r="71" spans="1:52" x14ac:dyDescent="0.3">
      <c r="A71" s="2" t="s">
        <v>21</v>
      </c>
      <c r="E71" s="2">
        <v>103.3588</v>
      </c>
      <c r="F71" s="2">
        <v>0.56899619999999995</v>
      </c>
      <c r="G71" s="2">
        <v>71.120800000000003</v>
      </c>
      <c r="H71" s="2">
        <v>114.4448</v>
      </c>
      <c r="I71" s="2">
        <v>0.514316</v>
      </c>
      <c r="J71" s="1">
        <v>70.682010000000005</v>
      </c>
      <c r="K71" s="1">
        <f t="shared" si="84"/>
        <v>-0.56899619999999995</v>
      </c>
      <c r="L71" s="1">
        <v>0</v>
      </c>
      <c r="T71" s="1"/>
      <c r="U71" s="1">
        <f t="shared" si="85"/>
        <v>0</v>
      </c>
      <c r="V71" s="1">
        <f t="shared" si="86"/>
        <v>0.95873169999999996</v>
      </c>
      <c r="AD71" s="1"/>
      <c r="AE71" s="1">
        <f t="shared" si="87"/>
        <v>0</v>
      </c>
      <c r="AF71" s="1">
        <f t="shared" si="88"/>
        <v>0.95873169999999996</v>
      </c>
      <c r="AO71" s="1">
        <f t="shared" si="89"/>
        <v>0</v>
      </c>
      <c r="AP71" s="1">
        <f t="shared" si="90"/>
        <v>0.95873169999999996</v>
      </c>
      <c r="AX71" s="1"/>
      <c r="AY71" s="1">
        <f t="shared" si="91"/>
        <v>0</v>
      </c>
      <c r="AZ71" s="1">
        <f t="shared" si="92"/>
        <v>0.95873169999999996</v>
      </c>
    </row>
    <row r="72" spans="1:52" x14ac:dyDescent="0.3">
      <c r="A72" s="2" t="s">
        <v>22</v>
      </c>
      <c r="E72" s="2">
        <v>103.3588</v>
      </c>
      <c r="F72" s="2">
        <v>0.56801040000000003</v>
      </c>
      <c r="G72" s="2">
        <v>72.11327</v>
      </c>
      <c r="H72" s="2">
        <v>114.4448</v>
      </c>
      <c r="I72" s="2">
        <v>0.51351040000000003</v>
      </c>
      <c r="J72" s="1">
        <v>71.675200000000004</v>
      </c>
      <c r="K72" s="1">
        <f t="shared" si="84"/>
        <v>-0.56801040000000003</v>
      </c>
      <c r="L72" s="1">
        <v>0</v>
      </c>
      <c r="T72" s="1"/>
      <c r="U72" s="1">
        <f t="shared" si="85"/>
        <v>0</v>
      </c>
      <c r="V72" s="1">
        <f t="shared" si="86"/>
        <v>0.95873169999999996</v>
      </c>
      <c r="AD72" s="1"/>
      <c r="AE72" s="1">
        <f t="shared" si="87"/>
        <v>0</v>
      </c>
      <c r="AF72" s="1">
        <f t="shared" si="88"/>
        <v>0.95873169999999996</v>
      </c>
      <c r="AO72" s="1">
        <f t="shared" si="89"/>
        <v>0</v>
      </c>
      <c r="AP72" s="1">
        <f t="shared" si="90"/>
        <v>0.95873169999999996</v>
      </c>
      <c r="AX72" s="1"/>
      <c r="AY72" s="1">
        <f t="shared" si="91"/>
        <v>0</v>
      </c>
      <c r="AZ72" s="1">
        <f t="shared" si="92"/>
        <v>0.95873169999999996</v>
      </c>
    </row>
    <row r="73" spans="1:52" x14ac:dyDescent="0.3">
      <c r="A73" s="2" t="s">
        <v>23</v>
      </c>
      <c r="E73" s="2">
        <v>86.461920000000006</v>
      </c>
      <c r="F73" s="2">
        <v>0.67597039999999997</v>
      </c>
      <c r="G73" s="2">
        <v>73.868979999999993</v>
      </c>
      <c r="H73" s="2">
        <v>94.035790000000006</v>
      </c>
      <c r="I73" s="2">
        <v>0.6222742</v>
      </c>
      <c r="J73" s="1">
        <v>73.509519999999995</v>
      </c>
      <c r="K73" s="1">
        <f t="shared" si="84"/>
        <v>-0.67597039999999997</v>
      </c>
      <c r="L73" s="1">
        <v>0</v>
      </c>
      <c r="T73" s="1"/>
      <c r="U73" s="1">
        <f t="shared" si="85"/>
        <v>0</v>
      </c>
      <c r="V73" s="1">
        <f t="shared" si="86"/>
        <v>0.95873169999999996</v>
      </c>
      <c r="AD73" s="1"/>
      <c r="AE73" s="1">
        <f t="shared" si="87"/>
        <v>0</v>
      </c>
      <c r="AF73" s="1">
        <f t="shared" si="88"/>
        <v>0.95873169999999996</v>
      </c>
      <c r="AO73" s="1">
        <f t="shared" si="89"/>
        <v>0</v>
      </c>
      <c r="AP73" s="1">
        <f t="shared" si="90"/>
        <v>0.95873169999999996</v>
      </c>
      <c r="AX73" s="1"/>
      <c r="AY73" s="1">
        <f t="shared" si="91"/>
        <v>0</v>
      </c>
      <c r="AZ73" s="1">
        <f t="shared" si="92"/>
        <v>0.95873169999999996</v>
      </c>
    </row>
    <row r="74" spans="1:52" x14ac:dyDescent="0.3">
      <c r="A74" s="2" t="s">
        <v>13</v>
      </c>
      <c r="E74" s="2">
        <v>86.461920000000006</v>
      </c>
      <c r="F74" s="2">
        <v>0.67401920000000004</v>
      </c>
      <c r="G74" s="2">
        <v>74.856430000000003</v>
      </c>
      <c r="H74" s="2">
        <v>94.035790000000006</v>
      </c>
      <c r="I74" s="2">
        <v>0.62062030000000001</v>
      </c>
      <c r="J74" s="1">
        <v>74.497969999999995</v>
      </c>
      <c r="K74" s="1">
        <f t="shared" si="84"/>
        <v>-0.67401920000000004</v>
      </c>
      <c r="L74" s="1">
        <v>0</v>
      </c>
      <c r="T74" s="1"/>
      <c r="U74" s="1">
        <f t="shared" si="85"/>
        <v>0</v>
      </c>
      <c r="V74" s="1">
        <f t="shared" si="86"/>
        <v>0.95873169999999996</v>
      </c>
      <c r="AD74" s="1"/>
      <c r="AE74" s="1">
        <f t="shared" si="87"/>
        <v>0</v>
      </c>
      <c r="AF74" s="1">
        <f t="shared" si="88"/>
        <v>0.95873169999999996</v>
      </c>
      <c r="AO74" s="1">
        <f t="shared" si="89"/>
        <v>0</v>
      </c>
      <c r="AP74" s="1">
        <f t="shared" si="90"/>
        <v>0.95873169999999996</v>
      </c>
      <c r="AX74" s="1"/>
      <c r="AY74" s="1">
        <f t="shared" si="91"/>
        <v>0</v>
      </c>
      <c r="AZ74" s="1">
        <f t="shared" si="92"/>
        <v>0.95873169999999996</v>
      </c>
    </row>
    <row r="75" spans="1:52" x14ac:dyDescent="0.3">
      <c r="A75" s="2" t="s">
        <v>14</v>
      </c>
      <c r="E75" s="2">
        <v>86.461920000000006</v>
      </c>
      <c r="F75" s="2">
        <v>0.67134210000000005</v>
      </c>
      <c r="G75" s="2">
        <v>75.83914</v>
      </c>
      <c r="H75" s="2">
        <v>94.035790000000006</v>
      </c>
      <c r="I75" s="2">
        <v>0.61834979999999995</v>
      </c>
      <c r="J75" s="1">
        <v>75.482039999999998</v>
      </c>
      <c r="K75" s="1">
        <f t="shared" si="84"/>
        <v>-0.67134210000000005</v>
      </c>
      <c r="L75" s="1">
        <v>0</v>
      </c>
      <c r="T75" s="1"/>
      <c r="U75" s="1">
        <f t="shared" si="85"/>
        <v>0</v>
      </c>
      <c r="V75" s="1">
        <f t="shared" si="86"/>
        <v>0.95873169999999996</v>
      </c>
      <c r="AD75" s="1"/>
      <c r="AE75" s="1">
        <f t="shared" si="87"/>
        <v>0</v>
      </c>
      <c r="AF75" s="1">
        <f t="shared" si="88"/>
        <v>0.95873169999999996</v>
      </c>
      <c r="AO75" s="1">
        <f t="shared" si="89"/>
        <v>0</v>
      </c>
      <c r="AP75" s="1">
        <f t="shared" si="90"/>
        <v>0.95873169999999996</v>
      </c>
      <c r="AX75" s="1"/>
      <c r="AY75" s="1">
        <f t="shared" si="91"/>
        <v>0</v>
      </c>
      <c r="AZ75" s="1">
        <f t="shared" si="92"/>
        <v>0.95873169999999996</v>
      </c>
    </row>
    <row r="76" spans="1:52" x14ac:dyDescent="0.3">
      <c r="A76" s="2" t="s">
        <v>26</v>
      </c>
      <c r="E76" s="2">
        <v>88.237780000000001</v>
      </c>
      <c r="F76" s="2">
        <v>0.65388749999999995</v>
      </c>
      <c r="G76" s="2">
        <v>76.724729999999994</v>
      </c>
      <c r="H76" s="2">
        <v>96.144990000000007</v>
      </c>
      <c r="I76" s="2">
        <v>0.60147209999999995</v>
      </c>
      <c r="J76" s="1">
        <v>76.361859999999993</v>
      </c>
      <c r="K76" s="1">
        <f t="shared" si="84"/>
        <v>-0.65388749999999995</v>
      </c>
      <c r="L76" s="1">
        <v>0</v>
      </c>
      <c r="T76" s="1"/>
      <c r="U76" s="1">
        <f t="shared" si="85"/>
        <v>0</v>
      </c>
      <c r="V76" s="1">
        <f t="shared" si="86"/>
        <v>0.95873169999999996</v>
      </c>
      <c r="AD76" s="1"/>
      <c r="AE76" s="1">
        <f t="shared" si="87"/>
        <v>0</v>
      </c>
      <c r="AF76" s="1">
        <f t="shared" si="88"/>
        <v>0.95873169999999996</v>
      </c>
      <c r="AO76" s="1">
        <f t="shared" si="89"/>
        <v>0</v>
      </c>
      <c r="AP76" s="1">
        <f t="shared" si="90"/>
        <v>0.95873169999999996</v>
      </c>
      <c r="AX76" s="1"/>
      <c r="AY76" s="1">
        <f t="shared" si="91"/>
        <v>0</v>
      </c>
      <c r="AZ76" s="1">
        <f t="shared" si="92"/>
        <v>0.95873169999999996</v>
      </c>
    </row>
    <row r="77" spans="1:52" x14ac:dyDescent="0.3">
      <c r="A77" s="2" t="s">
        <v>24</v>
      </c>
      <c r="E77" s="2">
        <v>88.237780000000001</v>
      </c>
      <c r="F77" s="2">
        <v>0.64805170000000001</v>
      </c>
      <c r="G77" s="2">
        <v>77.685810000000004</v>
      </c>
      <c r="H77" s="2">
        <v>96.144990000000007</v>
      </c>
      <c r="I77" s="2">
        <v>0.59653089999999998</v>
      </c>
      <c r="J77" s="1">
        <v>77.326030000000003</v>
      </c>
      <c r="K77" s="1">
        <f t="shared" si="84"/>
        <v>-0.64805170000000001</v>
      </c>
      <c r="L77" s="1">
        <v>0</v>
      </c>
      <c r="T77" s="1"/>
      <c r="U77" s="1">
        <f t="shared" si="85"/>
        <v>0</v>
      </c>
      <c r="V77" s="1">
        <f t="shared" si="86"/>
        <v>0.95873169999999996</v>
      </c>
      <c r="AD77" s="1"/>
      <c r="AE77" s="1">
        <f t="shared" si="87"/>
        <v>0</v>
      </c>
      <c r="AF77" s="1">
        <f t="shared" si="88"/>
        <v>0.95873169999999996</v>
      </c>
      <c r="AO77" s="1">
        <f t="shared" si="89"/>
        <v>0</v>
      </c>
      <c r="AP77" s="1">
        <f t="shared" si="90"/>
        <v>0.95873169999999996</v>
      </c>
      <c r="AX77" s="1"/>
      <c r="AY77" s="1">
        <f t="shared" si="91"/>
        <v>0</v>
      </c>
      <c r="AZ77" s="1">
        <f t="shared" si="92"/>
        <v>0.95873169999999996</v>
      </c>
    </row>
    <row r="78" spans="1:52" x14ac:dyDescent="0.3">
      <c r="A78" s="2" t="s">
        <v>27</v>
      </c>
      <c r="E78" s="2">
        <v>88.237780000000001</v>
      </c>
      <c r="F78" s="2">
        <v>0.63926260000000001</v>
      </c>
      <c r="G78" s="2">
        <v>78.626499999999993</v>
      </c>
      <c r="H78" s="2">
        <v>96.144990000000007</v>
      </c>
      <c r="I78" s="2">
        <v>0.58907560000000003</v>
      </c>
      <c r="J78" s="1">
        <v>78.271420000000006</v>
      </c>
      <c r="K78" s="1">
        <f t="shared" si="84"/>
        <v>-0.63926260000000001</v>
      </c>
      <c r="L78" s="1">
        <v>0</v>
      </c>
      <c r="T78" s="1"/>
      <c r="U78" s="1">
        <f t="shared" si="85"/>
        <v>0</v>
      </c>
      <c r="V78" s="1">
        <f t="shared" si="86"/>
        <v>0.95873169999999996</v>
      </c>
      <c r="AD78" s="1"/>
      <c r="AE78" s="1">
        <f t="shared" si="87"/>
        <v>0</v>
      </c>
      <c r="AF78" s="1">
        <f t="shared" si="88"/>
        <v>0.95873169999999996</v>
      </c>
      <c r="AO78" s="1">
        <f t="shared" si="89"/>
        <v>0</v>
      </c>
      <c r="AP78" s="1">
        <f t="shared" si="90"/>
        <v>0.95873169999999996</v>
      </c>
      <c r="AX78" s="1"/>
      <c r="AY78" s="1">
        <f t="shared" si="91"/>
        <v>0</v>
      </c>
      <c r="AZ78" s="1">
        <f t="shared" si="92"/>
        <v>0.95873169999999996</v>
      </c>
    </row>
    <row r="79" spans="1:52" x14ac:dyDescent="0.3">
      <c r="A79" s="2" t="s">
        <v>28</v>
      </c>
      <c r="E79" s="2">
        <v>79.525700000000001</v>
      </c>
      <c r="F79" s="2">
        <v>0.68881150000000002</v>
      </c>
      <c r="G79" s="2">
        <v>79.950710000000001</v>
      </c>
      <c r="H79" s="2">
        <v>85.870249999999999</v>
      </c>
      <c r="I79" s="2">
        <v>0.64155589999999996</v>
      </c>
      <c r="J79" s="1">
        <v>79.642049999999998</v>
      </c>
      <c r="K79" s="1">
        <f t="shared" si="84"/>
        <v>-0.68881150000000002</v>
      </c>
      <c r="L79" s="1">
        <v>0</v>
      </c>
      <c r="T79" s="1"/>
      <c r="U79" s="1">
        <f t="shared" si="85"/>
        <v>0</v>
      </c>
      <c r="V79" s="1">
        <f t="shared" si="86"/>
        <v>0.95873169999999996</v>
      </c>
      <c r="AD79" s="1"/>
      <c r="AE79" s="1">
        <f t="shared" si="87"/>
        <v>0</v>
      </c>
      <c r="AF79" s="1">
        <f t="shared" si="88"/>
        <v>0.95873169999999996</v>
      </c>
      <c r="AO79" s="1">
        <f t="shared" si="89"/>
        <v>0</v>
      </c>
      <c r="AP79" s="1">
        <f t="shared" si="90"/>
        <v>0.95873169999999996</v>
      </c>
      <c r="AX79" s="1"/>
      <c r="AY79" s="1">
        <f t="shared" si="91"/>
        <v>0</v>
      </c>
      <c r="AZ79" s="1">
        <f t="shared" si="92"/>
        <v>0.95873169999999996</v>
      </c>
    </row>
    <row r="80" spans="1:52" x14ac:dyDescent="0.3">
      <c r="A80" s="2" t="s">
        <v>29</v>
      </c>
      <c r="E80" s="2">
        <v>79.525700000000001</v>
      </c>
      <c r="F80" s="2">
        <v>0.66310999999999998</v>
      </c>
      <c r="G80" s="2">
        <v>80.785560000000004</v>
      </c>
      <c r="H80" s="2">
        <v>85.870249999999999</v>
      </c>
      <c r="I80" s="2">
        <v>0.61920269999999999</v>
      </c>
      <c r="J80" s="1">
        <v>80.488039999999998</v>
      </c>
      <c r="K80" s="1">
        <f t="shared" si="84"/>
        <v>-0.66310999999999998</v>
      </c>
      <c r="L80" s="1">
        <v>0</v>
      </c>
      <c r="T80" s="1"/>
      <c r="U80" s="1">
        <f t="shared" si="85"/>
        <v>0</v>
      </c>
      <c r="V80" s="1">
        <f t="shared" si="86"/>
        <v>0.95873169999999996</v>
      </c>
      <c r="AD80" s="1"/>
      <c r="AE80" s="1">
        <f t="shared" si="87"/>
        <v>0</v>
      </c>
      <c r="AF80" s="1">
        <f t="shared" si="88"/>
        <v>0.95873169999999996</v>
      </c>
      <c r="AO80" s="1">
        <f t="shared" si="89"/>
        <v>0</v>
      </c>
      <c r="AP80" s="1">
        <f t="shared" si="90"/>
        <v>0.95873169999999996</v>
      </c>
      <c r="AX80" s="1"/>
      <c r="AY80" s="1">
        <f t="shared" si="91"/>
        <v>0</v>
      </c>
      <c r="AZ80" s="1">
        <f t="shared" si="92"/>
        <v>0.95873169999999996</v>
      </c>
    </row>
    <row r="81" spans="1:52" x14ac:dyDescent="0.3">
      <c r="A81" s="2" t="s">
        <v>30</v>
      </c>
      <c r="E81" s="2">
        <v>79.525700000000001</v>
      </c>
      <c r="F81" s="2">
        <v>0.62876500000000002</v>
      </c>
      <c r="G81" s="2">
        <v>81.554580000000001</v>
      </c>
      <c r="H81" s="2">
        <v>85.870249999999999</v>
      </c>
      <c r="I81" s="2">
        <v>0.58915229999999996</v>
      </c>
      <c r="J81" s="1">
        <v>81.271979999999999</v>
      </c>
      <c r="K81" s="1">
        <f t="shared" si="84"/>
        <v>-0.62876500000000002</v>
      </c>
      <c r="L81" s="1">
        <v>0</v>
      </c>
      <c r="T81" s="1"/>
      <c r="U81" s="1">
        <f t="shared" si="85"/>
        <v>0</v>
      </c>
      <c r="V81" s="1">
        <f t="shared" si="86"/>
        <v>0.95873169999999996</v>
      </c>
      <c r="AD81" s="1"/>
      <c r="AE81" s="1">
        <f t="shared" si="87"/>
        <v>0</v>
      </c>
      <c r="AF81" s="1">
        <f t="shared" si="88"/>
        <v>0.95873169999999996</v>
      </c>
      <c r="AO81" s="1">
        <f t="shared" si="89"/>
        <v>0</v>
      </c>
      <c r="AP81" s="1">
        <f t="shared" si="90"/>
        <v>0.95873169999999996</v>
      </c>
      <c r="AX81" s="1"/>
      <c r="AY81" s="1">
        <f t="shared" si="91"/>
        <v>0</v>
      </c>
      <c r="AZ81" s="1">
        <f t="shared" si="92"/>
        <v>0.95873169999999996</v>
      </c>
    </row>
    <row r="82" spans="1:52" x14ac:dyDescent="0.3">
      <c r="A82" s="2" t="s">
        <v>31</v>
      </c>
      <c r="E82" s="2">
        <v>79.52431</v>
      </c>
      <c r="F82" s="2">
        <v>0.58052250000000005</v>
      </c>
      <c r="G82" s="2">
        <v>82.207899999999995</v>
      </c>
      <c r="H82" s="2">
        <v>85.868639999999999</v>
      </c>
      <c r="I82" s="2">
        <v>0.54659239999999998</v>
      </c>
      <c r="J82" s="1">
        <v>81.946340000000006</v>
      </c>
      <c r="K82" s="1">
        <f t="shared" si="84"/>
        <v>-0.58052250000000005</v>
      </c>
      <c r="L82" s="1">
        <v>0</v>
      </c>
      <c r="T82" s="1"/>
      <c r="U82" s="1">
        <f t="shared" si="85"/>
        <v>0</v>
      </c>
      <c r="V82" s="1">
        <f t="shared" si="86"/>
        <v>0.95873169999999996</v>
      </c>
      <c r="AD82" s="1"/>
      <c r="AE82" s="1">
        <f t="shared" si="87"/>
        <v>0</v>
      </c>
      <c r="AF82" s="1">
        <f t="shared" si="88"/>
        <v>0.95873169999999996</v>
      </c>
      <c r="AO82" s="1">
        <f t="shared" si="89"/>
        <v>0</v>
      </c>
      <c r="AP82" s="1">
        <f t="shared" si="90"/>
        <v>0.95873169999999996</v>
      </c>
      <c r="AX82" s="1"/>
      <c r="AY82" s="1">
        <f t="shared" si="91"/>
        <v>0</v>
      </c>
      <c r="AZ82" s="1">
        <f t="shared" si="92"/>
        <v>0.95873169999999996</v>
      </c>
    </row>
    <row r="83" spans="1:52" x14ac:dyDescent="0.3">
      <c r="A83" s="2" t="s">
        <v>32</v>
      </c>
      <c r="E83" s="2">
        <v>79.52431</v>
      </c>
      <c r="F83" s="2">
        <v>0.51666440000000002</v>
      </c>
      <c r="G83" s="2">
        <v>82.701790000000003</v>
      </c>
      <c r="H83" s="2">
        <v>85.868639999999999</v>
      </c>
      <c r="I83" s="2">
        <v>0.48961450000000001</v>
      </c>
      <c r="J83" s="1">
        <v>82.468249999999998</v>
      </c>
      <c r="K83" s="1">
        <f t="shared" si="84"/>
        <v>-0.51666440000000002</v>
      </c>
      <c r="L83" s="1">
        <v>0</v>
      </c>
      <c r="T83" s="1"/>
      <c r="U83" s="1">
        <f t="shared" si="85"/>
        <v>0</v>
      </c>
      <c r="V83" s="1">
        <f t="shared" si="86"/>
        <v>0.95873169999999996</v>
      </c>
      <c r="AD83" s="1"/>
      <c r="AE83" s="1">
        <f t="shared" si="87"/>
        <v>0</v>
      </c>
      <c r="AF83" s="1">
        <f t="shared" si="88"/>
        <v>0.95873169999999996</v>
      </c>
      <c r="AO83" s="1">
        <f t="shared" si="89"/>
        <v>0</v>
      </c>
      <c r="AP83" s="1">
        <f t="shared" si="90"/>
        <v>0.95873169999999996</v>
      </c>
      <c r="AX83" s="1"/>
      <c r="AY83" s="1">
        <f t="shared" si="91"/>
        <v>0</v>
      </c>
      <c r="AZ83" s="1">
        <f t="shared" si="92"/>
        <v>0.95873169999999996</v>
      </c>
    </row>
    <row r="84" spans="1:52" x14ac:dyDescent="0.3">
      <c r="A84" s="2" t="s">
        <v>33</v>
      </c>
      <c r="E84" s="2">
        <v>79.52431</v>
      </c>
      <c r="F84" s="2">
        <v>0.44679360000000001</v>
      </c>
      <c r="G84" s="2">
        <v>83.070769999999996</v>
      </c>
      <c r="H84" s="2">
        <v>85.868639999999999</v>
      </c>
      <c r="I84" s="2">
        <v>0.42642089999999999</v>
      </c>
      <c r="J84" s="1">
        <v>82.868089999999995</v>
      </c>
      <c r="K84" s="1">
        <f t="shared" si="84"/>
        <v>-0.44679360000000001</v>
      </c>
      <c r="L84" s="1">
        <v>0</v>
      </c>
      <c r="T84" s="1"/>
      <c r="U84" s="1">
        <f t="shared" si="85"/>
        <v>0</v>
      </c>
      <c r="V84" s="1">
        <f t="shared" si="86"/>
        <v>0.95873169999999996</v>
      </c>
      <c r="AD84" s="1"/>
      <c r="AE84" s="1">
        <f t="shared" si="87"/>
        <v>0</v>
      </c>
      <c r="AF84" s="1">
        <f t="shared" si="88"/>
        <v>0.95873169999999996</v>
      </c>
      <c r="AO84" s="1">
        <f t="shared" si="89"/>
        <v>0</v>
      </c>
      <c r="AP84" s="1">
        <f t="shared" si="90"/>
        <v>0.95873169999999996</v>
      </c>
      <c r="AX84" s="1"/>
      <c r="AY84" s="1">
        <f t="shared" si="91"/>
        <v>0</v>
      </c>
      <c r="AZ84" s="1">
        <f t="shared" si="92"/>
        <v>0.95873169999999996</v>
      </c>
    </row>
    <row r="85" spans="1:52" x14ac:dyDescent="0.3">
      <c r="A85" s="2" t="s">
        <v>34</v>
      </c>
      <c r="E85" s="2">
        <v>79.52431</v>
      </c>
      <c r="F85" s="2">
        <v>0.37264940000000002</v>
      </c>
      <c r="G85" s="2">
        <v>83.282709999999994</v>
      </c>
      <c r="H85" s="2">
        <v>85.868639999999999</v>
      </c>
      <c r="I85" s="2">
        <v>0.3583693</v>
      </c>
      <c r="J85" s="1">
        <v>83.113010000000003</v>
      </c>
      <c r="K85" s="1">
        <f t="shared" si="84"/>
        <v>-0.37264940000000002</v>
      </c>
      <c r="L85" s="1">
        <v>0</v>
      </c>
      <c r="T85" s="1"/>
      <c r="U85" s="1">
        <f t="shared" si="85"/>
        <v>0</v>
      </c>
      <c r="V85" s="1">
        <f t="shared" si="86"/>
        <v>0.95873169999999996</v>
      </c>
      <c r="AD85" s="1"/>
      <c r="AE85" s="1">
        <f t="shared" si="87"/>
        <v>0</v>
      </c>
      <c r="AF85" s="1">
        <f t="shared" si="88"/>
        <v>0.95873169999999996</v>
      </c>
      <c r="AO85" s="1">
        <f t="shared" si="89"/>
        <v>0</v>
      </c>
      <c r="AP85" s="1">
        <f t="shared" si="90"/>
        <v>0.95873169999999996</v>
      </c>
      <c r="AX85" s="1"/>
      <c r="AY85" s="1">
        <f t="shared" si="91"/>
        <v>0</v>
      </c>
      <c r="AZ85" s="1">
        <f t="shared" si="92"/>
        <v>0.95873169999999996</v>
      </c>
    </row>
    <row r="86" spans="1:52" x14ac:dyDescent="0.3">
      <c r="A86" s="2" t="s">
        <v>35</v>
      </c>
      <c r="E86" s="2">
        <v>79.52431</v>
      </c>
      <c r="F86" s="2">
        <v>0.29403839999999998</v>
      </c>
      <c r="G86" s="2">
        <v>83.253749999999997</v>
      </c>
      <c r="H86" s="2">
        <v>85.868639999999999</v>
      </c>
      <c r="I86" s="2">
        <v>0.28507519999999997</v>
      </c>
      <c r="J86" s="1">
        <v>83.119290000000007</v>
      </c>
      <c r="K86" s="1">
        <f t="shared" si="84"/>
        <v>-0.29403839999999998</v>
      </c>
      <c r="L86" s="1">
        <v>0</v>
      </c>
      <c r="T86" s="1"/>
      <c r="U86" s="1">
        <f t="shared" si="85"/>
        <v>0</v>
      </c>
      <c r="V86" s="1">
        <f t="shared" si="86"/>
        <v>0.95873169999999996</v>
      </c>
      <c r="AD86" s="1"/>
      <c r="AE86" s="1">
        <f t="shared" si="87"/>
        <v>0</v>
      </c>
      <c r="AF86" s="1">
        <f t="shared" si="88"/>
        <v>0.95873169999999996</v>
      </c>
      <c r="AO86" s="1">
        <f t="shared" si="89"/>
        <v>0</v>
      </c>
      <c r="AP86" s="1">
        <f t="shared" si="90"/>
        <v>0.95873169999999996</v>
      </c>
      <c r="AX86" s="1"/>
      <c r="AY86" s="1">
        <f t="shared" si="91"/>
        <v>0</v>
      </c>
      <c r="AZ86" s="1">
        <f t="shared" si="92"/>
        <v>0.95873169999999996</v>
      </c>
    </row>
    <row r="87" spans="1:52" x14ac:dyDescent="0.3">
      <c r="A87" s="3" t="s">
        <v>36</v>
      </c>
      <c r="B87" s="3"/>
      <c r="C87" s="14"/>
      <c r="D87" s="3"/>
      <c r="E87" s="3">
        <v>79.52431</v>
      </c>
      <c r="F87" s="3">
        <v>0.23238700000000001</v>
      </c>
      <c r="G87" s="3">
        <v>83.231830000000002</v>
      </c>
      <c r="H87" s="3">
        <v>85.868639999999999</v>
      </c>
      <c r="I87" s="3">
        <v>0.22675239999999999</v>
      </c>
      <c r="J87" s="4">
        <v>83.125230000000002</v>
      </c>
      <c r="K87" s="1">
        <f t="shared" si="84"/>
        <v>-0.23238700000000001</v>
      </c>
      <c r="L87" s="1">
        <v>0</v>
      </c>
      <c r="M87" s="14"/>
      <c r="N87" s="3"/>
      <c r="O87" s="3"/>
      <c r="P87" s="3"/>
      <c r="Q87" s="3"/>
      <c r="R87" s="3"/>
      <c r="S87" s="3"/>
      <c r="T87" s="4"/>
      <c r="U87" s="1">
        <f t="shared" si="85"/>
        <v>0</v>
      </c>
      <c r="V87" s="1">
        <f t="shared" si="86"/>
        <v>0.95873169999999996</v>
      </c>
      <c r="W87" s="14"/>
      <c r="X87" s="3"/>
      <c r="Y87" s="3"/>
      <c r="Z87" s="3"/>
      <c r="AA87" s="3"/>
      <c r="AB87" s="3"/>
      <c r="AC87" s="3"/>
      <c r="AD87" s="4"/>
      <c r="AE87" s="1">
        <f t="shared" si="87"/>
        <v>0</v>
      </c>
      <c r="AF87" s="1">
        <f t="shared" si="88"/>
        <v>0.95873169999999996</v>
      </c>
      <c r="AG87" s="14"/>
      <c r="AH87" s="3"/>
      <c r="AI87" s="3"/>
      <c r="AJ87" s="3"/>
      <c r="AK87" s="3"/>
      <c r="AL87" s="3"/>
      <c r="AM87" s="3"/>
      <c r="AN87" s="3"/>
      <c r="AO87" s="1">
        <f t="shared" si="89"/>
        <v>0</v>
      </c>
      <c r="AP87" s="1">
        <f t="shared" si="90"/>
        <v>0.95873169999999996</v>
      </c>
      <c r="AQ87" s="14"/>
      <c r="AR87" s="3"/>
      <c r="AS87" s="3"/>
      <c r="AT87" s="3"/>
      <c r="AU87" s="3"/>
      <c r="AV87" s="3"/>
      <c r="AW87" s="3"/>
      <c r="AX87" s="4"/>
      <c r="AY87" s="1">
        <f t="shared" si="91"/>
        <v>0</v>
      </c>
      <c r="AZ87" s="1">
        <f t="shared" si="92"/>
        <v>0.95873169999999996</v>
      </c>
    </row>
    <row r="88" spans="1:52" ht="15" thickBot="1" x14ac:dyDescent="0.35">
      <c r="A88" s="15" t="s">
        <v>49</v>
      </c>
      <c r="B88" s="16">
        <f>SUM(B61:B87)/27</f>
        <v>0</v>
      </c>
      <c r="C88" s="17"/>
      <c r="D88" s="16">
        <f>SUM(D61:D87)/27</f>
        <v>0</v>
      </c>
      <c r="E88" s="16">
        <f t="shared" ref="E88" si="93">SUM(E61:E87)/27</f>
        <v>78.362477777777769</v>
      </c>
      <c r="F88" s="16">
        <f t="shared" ref="F88" si="94">SUM(F61:F87)/27</f>
        <v>0.68747657037037035</v>
      </c>
      <c r="G88" s="16">
        <f t="shared" ref="G88" si="95">SUM(G61:G87)/27</f>
        <v>74.694066666666671</v>
      </c>
      <c r="H88" s="16">
        <f t="shared" ref="H88" si="96">SUM(H61:H87)/27</f>
        <v>84.722682222222204</v>
      </c>
      <c r="I88" s="16">
        <f t="shared" ref="I88" si="97">SUM(I61:I87)/27</f>
        <v>0.6426835481481481</v>
      </c>
      <c r="J88" s="16">
        <f t="shared" ref="J88" si="98">SUM(J61:J87)/27</f>
        <v>74.405247777777774</v>
      </c>
      <c r="K88" s="16">
        <f t="shared" ref="K88" si="99">SUM(K61:K87)/27</f>
        <v>-0.68747657037037035</v>
      </c>
      <c r="L88" s="16">
        <f t="shared" ref="L88" si="100">SUM(L61:L87)/27</f>
        <v>0</v>
      </c>
      <c r="M88" s="17"/>
      <c r="N88" s="16">
        <f>SUM(N61:N87)/27</f>
        <v>0</v>
      </c>
      <c r="O88" s="16">
        <f t="shared" ref="O88" si="101">SUM(O61:O87)/27</f>
        <v>0</v>
      </c>
      <c r="P88" s="16">
        <f t="shared" ref="P88" si="102">SUM(P61:P87)/27</f>
        <v>0</v>
      </c>
      <c r="Q88" s="16">
        <f t="shared" ref="Q88" si="103">SUM(Q61:Q87)/27</f>
        <v>0</v>
      </c>
      <c r="R88" s="16">
        <f t="shared" ref="R88" si="104">SUM(R61:R87)/27</f>
        <v>0</v>
      </c>
      <c r="S88" s="16">
        <f t="shared" ref="S88" si="105">SUM(S61:S87)/27</f>
        <v>0</v>
      </c>
      <c r="T88" s="16">
        <f t="shared" ref="T88" si="106">SUM(T61:T87)/27</f>
        <v>0</v>
      </c>
      <c r="U88" s="16">
        <f t="shared" ref="U88" si="107">SUM(U61:U87)/27</f>
        <v>0</v>
      </c>
      <c r="V88" s="1">
        <f t="shared" si="86"/>
        <v>0.95873169999999996</v>
      </c>
      <c r="W88" s="17"/>
      <c r="X88" s="16">
        <f>SUM(X61:X87)/27</f>
        <v>0</v>
      </c>
      <c r="Y88" s="16">
        <f t="shared" ref="Y88" si="108">SUM(Y61:Y87)/27</f>
        <v>0</v>
      </c>
      <c r="Z88" s="16">
        <f t="shared" ref="Z88" si="109">SUM(Z61:Z87)/27</f>
        <v>0</v>
      </c>
      <c r="AA88" s="16">
        <f t="shared" ref="AA88" si="110">SUM(AA61:AA87)/27</f>
        <v>0</v>
      </c>
      <c r="AB88" s="16">
        <f t="shared" ref="AB88" si="111">SUM(AB61:AB87)/27</f>
        <v>0</v>
      </c>
      <c r="AC88" s="16">
        <f t="shared" ref="AC88" si="112">SUM(AC61:AC87)/27</f>
        <v>0</v>
      </c>
      <c r="AD88" s="16">
        <f t="shared" ref="AD88" si="113">SUM(AD61:AD87)/27</f>
        <v>0</v>
      </c>
      <c r="AE88" s="16">
        <f t="shared" ref="AE88" si="114">SUM(AE61:AE87)/27</f>
        <v>0</v>
      </c>
      <c r="AF88" s="16">
        <f t="shared" ref="AF88" si="115">SUM(AF61:AF87)/27</f>
        <v>0.9587317000000003</v>
      </c>
      <c r="AG88" s="17"/>
      <c r="AH88" s="16">
        <f>SUM(AH61:AH87)/27</f>
        <v>0</v>
      </c>
      <c r="AI88" s="16">
        <f t="shared" ref="AI88" si="116">SUM(AI61:AI87)/27</f>
        <v>0</v>
      </c>
      <c r="AJ88" s="16">
        <f t="shared" ref="AJ88" si="117">SUM(AJ61:AJ87)/27</f>
        <v>0</v>
      </c>
      <c r="AK88" s="16">
        <f t="shared" ref="AK88" si="118">SUM(AK61:AK87)/27</f>
        <v>0</v>
      </c>
      <c r="AL88" s="16">
        <f t="shared" ref="AL88" si="119">SUM(AL61:AL87)/27</f>
        <v>0</v>
      </c>
      <c r="AM88" s="16">
        <f t="shared" ref="AM88" si="120">SUM(AM61:AM87)/27</f>
        <v>0</v>
      </c>
      <c r="AN88" s="16">
        <f t="shared" ref="AN88" si="121">SUM(AN61:AN87)/27</f>
        <v>0</v>
      </c>
      <c r="AO88" s="16">
        <f t="shared" ref="AO88" si="122">SUM(AO61:AO87)/27</f>
        <v>0</v>
      </c>
      <c r="AP88" s="16">
        <f t="shared" ref="AP88" si="123">SUM(AP61:AP87)/27</f>
        <v>0.9587317000000003</v>
      </c>
      <c r="AQ88" s="17"/>
      <c r="AR88" s="16">
        <f>SUM(AR61:AR87)/27</f>
        <v>0</v>
      </c>
      <c r="AS88" s="16">
        <f t="shared" ref="AS88" si="124">SUM(AS61:AS87)/27</f>
        <v>0</v>
      </c>
      <c r="AT88" s="16">
        <f t="shared" ref="AT88" si="125">SUM(AT61:AT87)/27</f>
        <v>0</v>
      </c>
      <c r="AU88" s="16">
        <f t="shared" ref="AU88" si="126">SUM(AU61:AU87)/27</f>
        <v>0</v>
      </c>
      <c r="AV88" s="16">
        <f t="shared" ref="AV88" si="127">SUM(AV61:AV87)/27</f>
        <v>0</v>
      </c>
      <c r="AW88" s="16">
        <f t="shared" ref="AW88" si="128">SUM(AW61:AW87)/27</f>
        <v>0</v>
      </c>
      <c r="AX88" s="16">
        <f t="shared" ref="AX88" si="129">SUM(AX61:AX87)/27</f>
        <v>0</v>
      </c>
      <c r="AY88" s="16">
        <f t="shared" ref="AY88" si="130">SUM(AY61:AY87)/27</f>
        <v>0</v>
      </c>
      <c r="AZ88" s="16">
        <f t="shared" ref="AZ88" si="131">SUM(AZ61:AZ87)/27</f>
        <v>0.9587317000000003</v>
      </c>
    </row>
    <row r="89" spans="1:52" s="10" customFormat="1" ht="15" thickBot="1" x14ac:dyDescent="0.35">
      <c r="A89" s="9" t="s">
        <v>41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</row>
    <row r="90" spans="1:52" x14ac:dyDescent="0.3">
      <c r="A90" s="1" t="s">
        <v>10</v>
      </c>
      <c r="B90" s="1"/>
      <c r="C90" s="11"/>
      <c r="D90" s="1"/>
      <c r="E90" s="1">
        <v>61.85772</v>
      </c>
      <c r="F90" s="1">
        <v>0.95875049999999995</v>
      </c>
      <c r="G90" s="1">
        <v>63.386760000000002</v>
      </c>
      <c r="H90" s="1">
        <v>65.606300000000005</v>
      </c>
      <c r="I90" s="1">
        <v>0.90399180000000001</v>
      </c>
      <c r="J90" s="1">
        <v>63.131349999999998</v>
      </c>
      <c r="K90" s="1">
        <f>B90-F90</f>
        <v>-0.95875049999999995</v>
      </c>
      <c r="L90" s="1">
        <v>0</v>
      </c>
      <c r="M90" s="11"/>
      <c r="N90" s="1"/>
      <c r="O90" s="1"/>
      <c r="P90" s="1"/>
      <c r="Q90" s="1"/>
      <c r="R90" s="1"/>
      <c r="S90" s="1"/>
      <c r="T90" s="1"/>
      <c r="U90" s="1">
        <f>$B$3-P90</f>
        <v>0</v>
      </c>
      <c r="V90" s="1">
        <f>$F$3-P90</f>
        <v>0.95873169999999996</v>
      </c>
      <c r="W90" s="11"/>
      <c r="X90" s="1"/>
      <c r="Y90" s="1"/>
      <c r="Z90" s="1"/>
      <c r="AA90" s="1"/>
      <c r="AB90" s="1"/>
      <c r="AC90" s="1"/>
      <c r="AD90" s="1"/>
      <c r="AE90" s="1">
        <f>$B$3-Z90</f>
        <v>0</v>
      </c>
      <c r="AF90" s="1">
        <f>$F$3-Z90</f>
        <v>0.95873169999999996</v>
      </c>
      <c r="AG90" s="11"/>
      <c r="AH90" s="1"/>
      <c r="AI90" s="1"/>
      <c r="AJ90" s="1"/>
      <c r="AK90" s="1"/>
      <c r="AL90" s="1"/>
      <c r="AM90" s="1"/>
      <c r="AN90" s="1"/>
      <c r="AO90" s="1">
        <f>$B$3-AJ90</f>
        <v>0</v>
      </c>
      <c r="AP90" s="1">
        <f>$F$3-AJ90</f>
        <v>0.95873169999999996</v>
      </c>
      <c r="AQ90" s="11"/>
      <c r="AR90" s="1"/>
      <c r="AS90" s="1"/>
      <c r="AT90" s="1"/>
      <c r="AU90" s="1"/>
      <c r="AV90" s="1"/>
      <c r="AW90" s="1"/>
      <c r="AX90" s="1"/>
      <c r="AY90" s="1">
        <f>$B$3-AT90</f>
        <v>0</v>
      </c>
      <c r="AZ90" s="1">
        <f>$F$3-AT90</f>
        <v>0.95873169999999996</v>
      </c>
    </row>
    <row r="91" spans="1:52" x14ac:dyDescent="0.3">
      <c r="A91" s="2" t="s">
        <v>11</v>
      </c>
      <c r="E91" s="2">
        <v>61.85772</v>
      </c>
      <c r="F91" s="2">
        <v>0.95852009999999999</v>
      </c>
      <c r="G91" s="2">
        <v>64.385710000000003</v>
      </c>
      <c r="H91" s="2">
        <v>65.606300000000005</v>
      </c>
      <c r="I91" s="2">
        <v>0.90378689999999995</v>
      </c>
      <c r="J91" s="1">
        <v>64.130359999999996</v>
      </c>
      <c r="K91" s="1">
        <f t="shared" ref="K91:K116" si="132">B91-F91</f>
        <v>-0.95852009999999999</v>
      </c>
      <c r="L91" s="1">
        <v>0</v>
      </c>
      <c r="T91" s="1"/>
      <c r="U91" s="1">
        <f t="shared" ref="U91:U116" si="133">$B$3-P91</f>
        <v>0</v>
      </c>
      <c r="V91" s="1">
        <f t="shared" ref="V91:V117" si="134">$F$3-P91</f>
        <v>0.95873169999999996</v>
      </c>
      <c r="AD91" s="1"/>
      <c r="AE91" s="1">
        <f t="shared" ref="AE91:AE116" si="135">$B$3-Z91</f>
        <v>0</v>
      </c>
      <c r="AF91" s="1">
        <f t="shared" ref="AF91:AF116" si="136">$F$3-Z91</f>
        <v>0.95873169999999996</v>
      </c>
      <c r="AO91" s="1">
        <f t="shared" ref="AO91:AO116" si="137">$B$3-AJ91</f>
        <v>0</v>
      </c>
      <c r="AP91" s="1">
        <f t="shared" ref="AP91:AP116" si="138">$F$3-AJ91</f>
        <v>0.95873169999999996</v>
      </c>
      <c r="AX91" s="1"/>
      <c r="AY91" s="1">
        <f t="shared" ref="AY91:AY116" si="139">$B$3-AT91</f>
        <v>0</v>
      </c>
      <c r="AZ91" s="1">
        <f t="shared" ref="AZ91:AZ116" si="140">$F$3-AT91</f>
        <v>0.95873169999999996</v>
      </c>
    </row>
    <row r="92" spans="1:52" x14ac:dyDescent="0.3">
      <c r="A92" s="2" t="s">
        <v>12</v>
      </c>
      <c r="E92" s="2">
        <v>61.85772</v>
      </c>
      <c r="F92" s="2">
        <v>0.95815110000000003</v>
      </c>
      <c r="G92" s="2">
        <v>65.384050000000002</v>
      </c>
      <c r="H92" s="2">
        <v>65.606300000000005</v>
      </c>
      <c r="I92" s="2">
        <v>0.90345880000000001</v>
      </c>
      <c r="J92" s="1">
        <v>65.128780000000006</v>
      </c>
      <c r="K92" s="1">
        <f t="shared" si="132"/>
        <v>-0.95815110000000003</v>
      </c>
      <c r="L92" s="1">
        <v>0</v>
      </c>
      <c r="T92" s="1"/>
      <c r="U92" s="1">
        <f t="shared" si="133"/>
        <v>0</v>
      </c>
      <c r="V92" s="1">
        <f t="shared" si="134"/>
        <v>0.95873169999999996</v>
      </c>
      <c r="AD92" s="1"/>
      <c r="AE92" s="1">
        <f t="shared" si="135"/>
        <v>0</v>
      </c>
      <c r="AF92" s="1">
        <f t="shared" si="136"/>
        <v>0.95873169999999996</v>
      </c>
      <c r="AO92" s="1">
        <f t="shared" si="137"/>
        <v>0</v>
      </c>
      <c r="AP92" s="1">
        <f t="shared" si="138"/>
        <v>0.95873169999999996</v>
      </c>
      <c r="AX92" s="1"/>
      <c r="AY92" s="1">
        <f t="shared" si="139"/>
        <v>0</v>
      </c>
      <c r="AZ92" s="1">
        <f t="shared" si="140"/>
        <v>0.95873169999999996</v>
      </c>
    </row>
    <row r="93" spans="1:52" x14ac:dyDescent="0.3">
      <c r="A93" s="2" t="s">
        <v>15</v>
      </c>
      <c r="E93" s="2">
        <v>61.885559999999998</v>
      </c>
      <c r="F93" s="2">
        <v>0.95720079999999996</v>
      </c>
      <c r="G93" s="2">
        <v>66.379739999999998</v>
      </c>
      <c r="H93" s="2">
        <v>65.637690000000006</v>
      </c>
      <c r="I93" s="2">
        <v>0.90256519999999996</v>
      </c>
      <c r="J93" s="1">
        <v>66.124489999999994</v>
      </c>
      <c r="K93" s="1">
        <f t="shared" si="132"/>
        <v>-0.95720079999999996</v>
      </c>
      <c r="L93" s="1">
        <v>0</v>
      </c>
      <c r="T93" s="1"/>
      <c r="U93" s="1">
        <f t="shared" si="133"/>
        <v>0</v>
      </c>
      <c r="V93" s="1">
        <f t="shared" si="134"/>
        <v>0.95873169999999996</v>
      </c>
      <c r="AD93" s="1"/>
      <c r="AE93" s="1">
        <f t="shared" si="135"/>
        <v>0</v>
      </c>
      <c r="AF93" s="1">
        <f t="shared" si="136"/>
        <v>0.95873169999999996</v>
      </c>
      <c r="AO93" s="1">
        <f t="shared" si="137"/>
        <v>0</v>
      </c>
      <c r="AP93" s="1">
        <f t="shared" si="138"/>
        <v>0.95873169999999996</v>
      </c>
      <c r="AX93" s="1"/>
      <c r="AY93" s="1">
        <f t="shared" si="139"/>
        <v>0</v>
      </c>
      <c r="AZ93" s="1">
        <f t="shared" si="140"/>
        <v>0.95873169999999996</v>
      </c>
    </row>
    <row r="94" spans="1:52" x14ac:dyDescent="0.3">
      <c r="A94" s="2" t="s">
        <v>16</v>
      </c>
      <c r="E94" s="2">
        <v>61.885559999999998</v>
      </c>
      <c r="F94" s="2">
        <v>0.95644589999999996</v>
      </c>
      <c r="G94" s="2">
        <v>67.376310000000004</v>
      </c>
      <c r="H94" s="2">
        <v>65.637690000000006</v>
      </c>
      <c r="I94" s="2">
        <v>0.90189399999999997</v>
      </c>
      <c r="J94" s="1">
        <v>67.121260000000007</v>
      </c>
      <c r="K94" s="1">
        <f t="shared" si="132"/>
        <v>-0.95644589999999996</v>
      </c>
      <c r="L94" s="1">
        <v>0</v>
      </c>
      <c r="T94" s="1"/>
      <c r="U94" s="1">
        <f t="shared" si="133"/>
        <v>0</v>
      </c>
      <c r="V94" s="1">
        <f t="shared" si="134"/>
        <v>0.95873169999999996</v>
      </c>
      <c r="AD94" s="1"/>
      <c r="AE94" s="1">
        <f t="shared" si="135"/>
        <v>0</v>
      </c>
      <c r="AF94" s="1">
        <f t="shared" si="136"/>
        <v>0.95873169999999996</v>
      </c>
      <c r="AO94" s="1">
        <f t="shared" si="137"/>
        <v>0</v>
      </c>
      <c r="AP94" s="1">
        <f t="shared" si="138"/>
        <v>0.95873169999999996</v>
      </c>
      <c r="AX94" s="1"/>
      <c r="AY94" s="1">
        <f t="shared" si="139"/>
        <v>0</v>
      </c>
      <c r="AZ94" s="1">
        <f t="shared" si="140"/>
        <v>0.95873169999999996</v>
      </c>
    </row>
    <row r="95" spans="1:52" x14ac:dyDescent="0.3">
      <c r="A95" s="2" t="s">
        <v>25</v>
      </c>
      <c r="E95" s="2">
        <v>61.885559999999998</v>
      </c>
      <c r="F95" s="2">
        <v>0.95525369999999998</v>
      </c>
      <c r="G95" s="2">
        <v>68.370890000000003</v>
      </c>
      <c r="H95" s="2">
        <v>65.637690000000006</v>
      </c>
      <c r="I95" s="2">
        <v>0.90083369999999996</v>
      </c>
      <c r="J95" s="1">
        <v>68.116150000000005</v>
      </c>
      <c r="K95" s="1">
        <f t="shared" si="132"/>
        <v>-0.95525369999999998</v>
      </c>
      <c r="L95" s="1">
        <v>0</v>
      </c>
      <c r="T95" s="1"/>
      <c r="U95" s="1">
        <f t="shared" si="133"/>
        <v>0</v>
      </c>
      <c r="V95" s="1">
        <f t="shared" si="134"/>
        <v>0.95873169999999996</v>
      </c>
      <c r="AD95" s="1"/>
      <c r="AE95" s="1">
        <f t="shared" si="135"/>
        <v>0</v>
      </c>
      <c r="AF95" s="1">
        <f t="shared" si="136"/>
        <v>0.95873169999999996</v>
      </c>
      <c r="AO95" s="1">
        <f t="shared" si="137"/>
        <v>0</v>
      </c>
      <c r="AP95" s="1">
        <f t="shared" si="138"/>
        <v>0.95873169999999996</v>
      </c>
      <c r="AX95" s="1"/>
      <c r="AY95" s="1">
        <f t="shared" si="139"/>
        <v>0</v>
      </c>
      <c r="AZ95" s="1">
        <f t="shared" si="140"/>
        <v>0.95873169999999996</v>
      </c>
    </row>
    <row r="96" spans="1:52" x14ac:dyDescent="0.3">
      <c r="A96" s="2" t="s">
        <v>17</v>
      </c>
      <c r="E96" s="2">
        <v>64.886200000000002</v>
      </c>
      <c r="F96" s="2">
        <v>0.90990420000000005</v>
      </c>
      <c r="G96" s="2">
        <v>69.159670000000006</v>
      </c>
      <c r="H96" s="2">
        <v>69.02704</v>
      </c>
      <c r="I96" s="2">
        <v>0.855572</v>
      </c>
      <c r="J96" s="1">
        <v>68.892269999999996</v>
      </c>
      <c r="K96" s="1">
        <f t="shared" si="132"/>
        <v>-0.90990420000000005</v>
      </c>
      <c r="L96" s="1">
        <v>0</v>
      </c>
      <c r="T96" s="1"/>
      <c r="U96" s="1">
        <f t="shared" si="133"/>
        <v>0</v>
      </c>
      <c r="V96" s="1">
        <f t="shared" si="134"/>
        <v>0.95873169999999996</v>
      </c>
      <c r="AD96" s="1"/>
      <c r="AE96" s="1">
        <f t="shared" si="135"/>
        <v>0</v>
      </c>
      <c r="AF96" s="1">
        <f t="shared" si="136"/>
        <v>0.95873169999999996</v>
      </c>
      <c r="AO96" s="1">
        <f t="shared" si="137"/>
        <v>0</v>
      </c>
      <c r="AP96" s="1">
        <f t="shared" si="138"/>
        <v>0.95873169999999996</v>
      </c>
      <c r="AX96" s="1"/>
      <c r="AY96" s="1">
        <f t="shared" si="139"/>
        <v>0</v>
      </c>
      <c r="AZ96" s="1">
        <f t="shared" si="140"/>
        <v>0.95873169999999996</v>
      </c>
    </row>
    <row r="97" spans="1:52" x14ac:dyDescent="0.3">
      <c r="A97" s="2" t="s">
        <v>18</v>
      </c>
      <c r="E97" s="2">
        <v>64.886200000000002</v>
      </c>
      <c r="F97" s="2">
        <v>0.9082422</v>
      </c>
      <c r="G97" s="2">
        <v>70.151719999999997</v>
      </c>
      <c r="H97" s="2">
        <v>69.02704</v>
      </c>
      <c r="I97" s="2">
        <v>0.85410240000000004</v>
      </c>
      <c r="J97" s="1">
        <v>69.884799999999998</v>
      </c>
      <c r="K97" s="1">
        <f t="shared" si="132"/>
        <v>-0.9082422</v>
      </c>
      <c r="L97" s="1">
        <v>0</v>
      </c>
      <c r="T97" s="1"/>
      <c r="U97" s="1">
        <f t="shared" si="133"/>
        <v>0</v>
      </c>
      <c r="V97" s="1">
        <f t="shared" si="134"/>
        <v>0.95873169999999996</v>
      </c>
      <c r="AD97" s="1"/>
      <c r="AE97" s="1">
        <f t="shared" si="135"/>
        <v>0</v>
      </c>
      <c r="AF97" s="1">
        <f t="shared" si="136"/>
        <v>0.95873169999999996</v>
      </c>
      <c r="AO97" s="1">
        <f t="shared" si="137"/>
        <v>0</v>
      </c>
      <c r="AP97" s="1">
        <f t="shared" si="138"/>
        <v>0.95873169999999996</v>
      </c>
      <c r="AX97" s="1"/>
      <c r="AY97" s="1">
        <f t="shared" si="139"/>
        <v>0</v>
      </c>
      <c r="AZ97" s="1">
        <f t="shared" si="140"/>
        <v>0.95873169999999996</v>
      </c>
    </row>
    <row r="98" spans="1:52" x14ac:dyDescent="0.3">
      <c r="A98" s="2" t="s">
        <v>19</v>
      </c>
      <c r="E98" s="2">
        <v>64.886200000000002</v>
      </c>
      <c r="F98" s="2">
        <v>0.90622440000000004</v>
      </c>
      <c r="G98" s="2">
        <v>71.142060000000001</v>
      </c>
      <c r="H98" s="2">
        <v>69.02704</v>
      </c>
      <c r="I98" s="2">
        <v>0.85231780000000001</v>
      </c>
      <c r="J98" s="1">
        <v>70.875720000000001</v>
      </c>
      <c r="K98" s="1">
        <f t="shared" si="132"/>
        <v>-0.90622440000000004</v>
      </c>
      <c r="L98" s="1">
        <v>0</v>
      </c>
      <c r="T98" s="1"/>
      <c r="U98" s="1">
        <f t="shared" si="133"/>
        <v>0</v>
      </c>
      <c r="V98" s="1">
        <f t="shared" si="134"/>
        <v>0.95873169999999996</v>
      </c>
      <c r="AD98" s="1"/>
      <c r="AE98" s="1">
        <f t="shared" si="135"/>
        <v>0</v>
      </c>
      <c r="AF98" s="1">
        <f t="shared" si="136"/>
        <v>0.95873169999999996</v>
      </c>
      <c r="AO98" s="1">
        <f t="shared" si="137"/>
        <v>0</v>
      </c>
      <c r="AP98" s="1">
        <f t="shared" si="138"/>
        <v>0.95873169999999996</v>
      </c>
      <c r="AX98" s="1"/>
      <c r="AY98" s="1">
        <f t="shared" si="139"/>
        <v>0</v>
      </c>
      <c r="AZ98" s="1">
        <f t="shared" si="140"/>
        <v>0.95873169999999996</v>
      </c>
    </row>
    <row r="99" spans="1:52" x14ac:dyDescent="0.3">
      <c r="A99" s="2" t="s">
        <v>20</v>
      </c>
      <c r="E99" s="2">
        <v>103.3588</v>
      </c>
      <c r="F99" s="2">
        <v>0.56989259999999997</v>
      </c>
      <c r="G99" s="2">
        <v>70.127629999999996</v>
      </c>
      <c r="H99" s="2">
        <v>114.4448</v>
      </c>
      <c r="I99" s="2">
        <v>0.51504830000000001</v>
      </c>
      <c r="J99" s="1">
        <v>69.688180000000003</v>
      </c>
      <c r="K99" s="1">
        <f t="shared" si="132"/>
        <v>-0.56989259999999997</v>
      </c>
      <c r="L99" s="1">
        <v>0</v>
      </c>
      <c r="T99" s="1"/>
      <c r="U99" s="1">
        <f t="shared" si="133"/>
        <v>0</v>
      </c>
      <c r="V99" s="1">
        <f t="shared" si="134"/>
        <v>0.95873169999999996</v>
      </c>
      <c r="AD99" s="1"/>
      <c r="AE99" s="1">
        <f t="shared" si="135"/>
        <v>0</v>
      </c>
      <c r="AF99" s="1">
        <f t="shared" si="136"/>
        <v>0.95873169999999996</v>
      </c>
      <c r="AO99" s="1">
        <f t="shared" si="137"/>
        <v>0</v>
      </c>
      <c r="AP99" s="1">
        <f t="shared" si="138"/>
        <v>0.95873169999999996</v>
      </c>
      <c r="AX99" s="1"/>
      <c r="AY99" s="1">
        <f t="shared" si="139"/>
        <v>0</v>
      </c>
      <c r="AZ99" s="1">
        <f t="shared" si="140"/>
        <v>0.95873169999999996</v>
      </c>
    </row>
    <row r="100" spans="1:52" x14ac:dyDescent="0.3">
      <c r="A100" s="2" t="s">
        <v>21</v>
      </c>
      <c r="E100" s="2">
        <v>103.3588</v>
      </c>
      <c r="F100" s="2">
        <v>0.56899619999999995</v>
      </c>
      <c r="G100" s="2">
        <v>71.120800000000003</v>
      </c>
      <c r="H100" s="2">
        <v>114.4448</v>
      </c>
      <c r="I100" s="2">
        <v>0.514316</v>
      </c>
      <c r="J100" s="1">
        <v>70.682010000000005</v>
      </c>
      <c r="K100" s="1">
        <f t="shared" si="132"/>
        <v>-0.56899619999999995</v>
      </c>
      <c r="L100" s="1">
        <v>0</v>
      </c>
      <c r="T100" s="1"/>
      <c r="U100" s="1">
        <f t="shared" si="133"/>
        <v>0</v>
      </c>
      <c r="V100" s="1">
        <f t="shared" si="134"/>
        <v>0.95873169999999996</v>
      </c>
      <c r="AD100" s="1"/>
      <c r="AE100" s="1">
        <f t="shared" si="135"/>
        <v>0</v>
      </c>
      <c r="AF100" s="1">
        <f t="shared" si="136"/>
        <v>0.95873169999999996</v>
      </c>
      <c r="AO100" s="1">
        <f t="shared" si="137"/>
        <v>0</v>
      </c>
      <c r="AP100" s="1">
        <f t="shared" si="138"/>
        <v>0.95873169999999996</v>
      </c>
      <c r="AX100" s="1"/>
      <c r="AY100" s="1">
        <f t="shared" si="139"/>
        <v>0</v>
      </c>
      <c r="AZ100" s="1">
        <f t="shared" si="140"/>
        <v>0.95873169999999996</v>
      </c>
    </row>
    <row r="101" spans="1:52" x14ac:dyDescent="0.3">
      <c r="A101" s="2" t="s">
        <v>22</v>
      </c>
      <c r="E101" s="2">
        <v>103.3588</v>
      </c>
      <c r="F101" s="2">
        <v>0.56801040000000003</v>
      </c>
      <c r="G101" s="2">
        <v>72.11327</v>
      </c>
      <c r="H101" s="2">
        <v>114.4448</v>
      </c>
      <c r="I101" s="2">
        <v>0.51351040000000003</v>
      </c>
      <c r="J101" s="1">
        <v>71.675200000000004</v>
      </c>
      <c r="K101" s="1">
        <f t="shared" si="132"/>
        <v>-0.56801040000000003</v>
      </c>
      <c r="L101" s="1">
        <v>0</v>
      </c>
      <c r="T101" s="1"/>
      <c r="U101" s="1">
        <f t="shared" si="133"/>
        <v>0</v>
      </c>
      <c r="V101" s="1">
        <f t="shared" si="134"/>
        <v>0.95873169999999996</v>
      </c>
      <c r="AD101" s="1"/>
      <c r="AE101" s="1">
        <f t="shared" si="135"/>
        <v>0</v>
      </c>
      <c r="AF101" s="1">
        <f t="shared" si="136"/>
        <v>0.95873169999999996</v>
      </c>
      <c r="AO101" s="1">
        <f t="shared" si="137"/>
        <v>0</v>
      </c>
      <c r="AP101" s="1">
        <f t="shared" si="138"/>
        <v>0.95873169999999996</v>
      </c>
      <c r="AX101" s="1"/>
      <c r="AY101" s="1">
        <f t="shared" si="139"/>
        <v>0</v>
      </c>
      <c r="AZ101" s="1">
        <f t="shared" si="140"/>
        <v>0.95873169999999996</v>
      </c>
    </row>
    <row r="102" spans="1:52" x14ac:dyDescent="0.3">
      <c r="A102" s="2" t="s">
        <v>23</v>
      </c>
      <c r="E102" s="2">
        <v>86.461920000000006</v>
      </c>
      <c r="F102" s="2">
        <v>0.67597039999999997</v>
      </c>
      <c r="G102" s="2">
        <v>73.868979999999993</v>
      </c>
      <c r="H102" s="2">
        <v>94.035790000000006</v>
      </c>
      <c r="I102" s="2">
        <v>0.6222742</v>
      </c>
      <c r="J102" s="1">
        <v>73.509519999999995</v>
      </c>
      <c r="K102" s="1">
        <f t="shared" si="132"/>
        <v>-0.67597039999999997</v>
      </c>
      <c r="L102" s="1">
        <v>0</v>
      </c>
      <c r="T102" s="1"/>
      <c r="U102" s="1">
        <f t="shared" si="133"/>
        <v>0</v>
      </c>
      <c r="V102" s="1">
        <f t="shared" si="134"/>
        <v>0.95873169999999996</v>
      </c>
      <c r="AD102" s="1"/>
      <c r="AE102" s="1">
        <f t="shared" si="135"/>
        <v>0</v>
      </c>
      <c r="AF102" s="1">
        <f t="shared" si="136"/>
        <v>0.95873169999999996</v>
      </c>
      <c r="AO102" s="1">
        <f t="shared" si="137"/>
        <v>0</v>
      </c>
      <c r="AP102" s="1">
        <f t="shared" si="138"/>
        <v>0.95873169999999996</v>
      </c>
      <c r="AX102" s="1"/>
      <c r="AY102" s="1">
        <f t="shared" si="139"/>
        <v>0</v>
      </c>
      <c r="AZ102" s="1">
        <f t="shared" si="140"/>
        <v>0.95873169999999996</v>
      </c>
    </row>
    <row r="103" spans="1:52" x14ac:dyDescent="0.3">
      <c r="A103" s="2" t="s">
        <v>13</v>
      </c>
      <c r="E103" s="2">
        <v>86.461920000000006</v>
      </c>
      <c r="F103" s="2">
        <v>0.67401920000000004</v>
      </c>
      <c r="G103" s="2">
        <v>74.856430000000003</v>
      </c>
      <c r="H103" s="2">
        <v>94.035790000000006</v>
      </c>
      <c r="I103" s="2">
        <v>0.62062030000000001</v>
      </c>
      <c r="J103" s="1">
        <v>74.497969999999995</v>
      </c>
      <c r="K103" s="1">
        <f t="shared" si="132"/>
        <v>-0.67401920000000004</v>
      </c>
      <c r="L103" s="1">
        <v>0</v>
      </c>
      <c r="T103" s="1"/>
      <c r="U103" s="1">
        <f t="shared" si="133"/>
        <v>0</v>
      </c>
      <c r="V103" s="1">
        <f t="shared" si="134"/>
        <v>0.95873169999999996</v>
      </c>
      <c r="AD103" s="1"/>
      <c r="AE103" s="1">
        <f t="shared" si="135"/>
        <v>0</v>
      </c>
      <c r="AF103" s="1">
        <f t="shared" si="136"/>
        <v>0.95873169999999996</v>
      </c>
      <c r="AO103" s="1">
        <f t="shared" si="137"/>
        <v>0</v>
      </c>
      <c r="AP103" s="1">
        <f t="shared" si="138"/>
        <v>0.95873169999999996</v>
      </c>
      <c r="AX103" s="1"/>
      <c r="AY103" s="1">
        <f t="shared" si="139"/>
        <v>0</v>
      </c>
      <c r="AZ103" s="1">
        <f t="shared" si="140"/>
        <v>0.95873169999999996</v>
      </c>
    </row>
    <row r="104" spans="1:52" x14ac:dyDescent="0.3">
      <c r="A104" s="2" t="s">
        <v>14</v>
      </c>
      <c r="E104" s="2">
        <v>86.461920000000006</v>
      </c>
      <c r="F104" s="2">
        <v>0.67134210000000005</v>
      </c>
      <c r="G104" s="2">
        <v>75.83914</v>
      </c>
      <c r="H104" s="2">
        <v>94.035790000000006</v>
      </c>
      <c r="I104" s="2">
        <v>0.61834979999999995</v>
      </c>
      <c r="J104" s="1">
        <v>75.482039999999998</v>
      </c>
      <c r="K104" s="1">
        <f t="shared" si="132"/>
        <v>-0.67134210000000005</v>
      </c>
      <c r="L104" s="1">
        <v>0</v>
      </c>
      <c r="T104" s="1"/>
      <c r="U104" s="1">
        <f t="shared" si="133"/>
        <v>0</v>
      </c>
      <c r="V104" s="1">
        <f t="shared" si="134"/>
        <v>0.95873169999999996</v>
      </c>
      <c r="AD104" s="1"/>
      <c r="AE104" s="1">
        <f t="shared" si="135"/>
        <v>0</v>
      </c>
      <c r="AF104" s="1">
        <f t="shared" si="136"/>
        <v>0.95873169999999996</v>
      </c>
      <c r="AO104" s="1">
        <f t="shared" si="137"/>
        <v>0</v>
      </c>
      <c r="AP104" s="1">
        <f t="shared" si="138"/>
        <v>0.95873169999999996</v>
      </c>
      <c r="AX104" s="1"/>
      <c r="AY104" s="1">
        <f t="shared" si="139"/>
        <v>0</v>
      </c>
      <c r="AZ104" s="1">
        <f t="shared" si="140"/>
        <v>0.95873169999999996</v>
      </c>
    </row>
    <row r="105" spans="1:52" x14ac:dyDescent="0.3">
      <c r="A105" s="2" t="s">
        <v>26</v>
      </c>
      <c r="E105" s="2">
        <v>88.237780000000001</v>
      </c>
      <c r="F105" s="2">
        <v>0.65388749999999995</v>
      </c>
      <c r="G105" s="2">
        <v>76.724729999999994</v>
      </c>
      <c r="H105" s="2">
        <v>96.144990000000007</v>
      </c>
      <c r="I105" s="2">
        <v>0.60147209999999995</v>
      </c>
      <c r="J105" s="1">
        <v>76.361859999999993</v>
      </c>
      <c r="K105" s="1">
        <f t="shared" si="132"/>
        <v>-0.65388749999999995</v>
      </c>
      <c r="L105" s="1">
        <v>0</v>
      </c>
      <c r="T105" s="1"/>
      <c r="U105" s="1">
        <f t="shared" si="133"/>
        <v>0</v>
      </c>
      <c r="V105" s="1">
        <f t="shared" si="134"/>
        <v>0.95873169999999996</v>
      </c>
      <c r="AD105" s="1"/>
      <c r="AE105" s="1">
        <f t="shared" si="135"/>
        <v>0</v>
      </c>
      <c r="AF105" s="1">
        <f t="shared" si="136"/>
        <v>0.95873169999999996</v>
      </c>
      <c r="AO105" s="1">
        <f t="shared" si="137"/>
        <v>0</v>
      </c>
      <c r="AP105" s="1">
        <f t="shared" si="138"/>
        <v>0.95873169999999996</v>
      </c>
      <c r="AX105" s="1"/>
      <c r="AY105" s="1">
        <f t="shared" si="139"/>
        <v>0</v>
      </c>
      <c r="AZ105" s="1">
        <f t="shared" si="140"/>
        <v>0.95873169999999996</v>
      </c>
    </row>
    <row r="106" spans="1:52" x14ac:dyDescent="0.3">
      <c r="A106" s="2" t="s">
        <v>24</v>
      </c>
      <c r="E106" s="2">
        <v>88.237780000000001</v>
      </c>
      <c r="F106" s="2">
        <v>0.64805170000000001</v>
      </c>
      <c r="G106" s="2">
        <v>77.685810000000004</v>
      </c>
      <c r="H106" s="2">
        <v>96.144990000000007</v>
      </c>
      <c r="I106" s="2">
        <v>0.59653089999999998</v>
      </c>
      <c r="J106" s="1">
        <v>77.326030000000003</v>
      </c>
      <c r="K106" s="1">
        <f t="shared" si="132"/>
        <v>-0.64805170000000001</v>
      </c>
      <c r="L106" s="1">
        <v>0</v>
      </c>
      <c r="T106" s="1"/>
      <c r="U106" s="1">
        <f t="shared" si="133"/>
        <v>0</v>
      </c>
      <c r="V106" s="1">
        <f t="shared" si="134"/>
        <v>0.95873169999999996</v>
      </c>
      <c r="AD106" s="1"/>
      <c r="AE106" s="1">
        <f t="shared" si="135"/>
        <v>0</v>
      </c>
      <c r="AF106" s="1">
        <f t="shared" si="136"/>
        <v>0.95873169999999996</v>
      </c>
      <c r="AO106" s="1">
        <f t="shared" si="137"/>
        <v>0</v>
      </c>
      <c r="AP106" s="1">
        <f t="shared" si="138"/>
        <v>0.95873169999999996</v>
      </c>
      <c r="AX106" s="1"/>
      <c r="AY106" s="1">
        <f t="shared" si="139"/>
        <v>0</v>
      </c>
      <c r="AZ106" s="1">
        <f t="shared" si="140"/>
        <v>0.95873169999999996</v>
      </c>
    </row>
    <row r="107" spans="1:52" x14ac:dyDescent="0.3">
      <c r="A107" s="2" t="s">
        <v>27</v>
      </c>
      <c r="E107" s="2">
        <v>88.237780000000001</v>
      </c>
      <c r="F107" s="2">
        <v>0.63926260000000001</v>
      </c>
      <c r="G107" s="2">
        <v>78.626499999999993</v>
      </c>
      <c r="H107" s="2">
        <v>96.144990000000007</v>
      </c>
      <c r="I107" s="2">
        <v>0.58907560000000003</v>
      </c>
      <c r="J107" s="1">
        <v>78.271420000000006</v>
      </c>
      <c r="K107" s="1">
        <f t="shared" si="132"/>
        <v>-0.63926260000000001</v>
      </c>
      <c r="L107" s="1">
        <v>0</v>
      </c>
      <c r="T107" s="1"/>
      <c r="U107" s="1">
        <f t="shared" si="133"/>
        <v>0</v>
      </c>
      <c r="V107" s="1">
        <f t="shared" si="134"/>
        <v>0.95873169999999996</v>
      </c>
      <c r="AD107" s="1"/>
      <c r="AE107" s="1">
        <f t="shared" si="135"/>
        <v>0</v>
      </c>
      <c r="AF107" s="1">
        <f t="shared" si="136"/>
        <v>0.95873169999999996</v>
      </c>
      <c r="AO107" s="1">
        <f t="shared" si="137"/>
        <v>0</v>
      </c>
      <c r="AP107" s="1">
        <f t="shared" si="138"/>
        <v>0.95873169999999996</v>
      </c>
      <c r="AX107" s="1"/>
      <c r="AY107" s="1">
        <f t="shared" si="139"/>
        <v>0</v>
      </c>
      <c r="AZ107" s="1">
        <f t="shared" si="140"/>
        <v>0.95873169999999996</v>
      </c>
    </row>
    <row r="108" spans="1:52" x14ac:dyDescent="0.3">
      <c r="A108" s="2" t="s">
        <v>28</v>
      </c>
      <c r="E108" s="2">
        <v>79.525700000000001</v>
      </c>
      <c r="F108" s="2">
        <v>0.68881150000000002</v>
      </c>
      <c r="G108" s="2">
        <v>79.950710000000001</v>
      </c>
      <c r="H108" s="2">
        <v>85.870249999999999</v>
      </c>
      <c r="I108" s="2">
        <v>0.64155589999999996</v>
      </c>
      <c r="J108" s="1">
        <v>79.642049999999998</v>
      </c>
      <c r="K108" s="1">
        <f t="shared" si="132"/>
        <v>-0.68881150000000002</v>
      </c>
      <c r="L108" s="1">
        <v>0</v>
      </c>
      <c r="T108" s="1"/>
      <c r="U108" s="1">
        <f t="shared" si="133"/>
        <v>0</v>
      </c>
      <c r="V108" s="1">
        <f t="shared" si="134"/>
        <v>0.95873169999999996</v>
      </c>
      <c r="AD108" s="1"/>
      <c r="AE108" s="1">
        <f t="shared" si="135"/>
        <v>0</v>
      </c>
      <c r="AF108" s="1">
        <f t="shared" si="136"/>
        <v>0.95873169999999996</v>
      </c>
      <c r="AO108" s="1">
        <f t="shared" si="137"/>
        <v>0</v>
      </c>
      <c r="AP108" s="1">
        <f t="shared" si="138"/>
        <v>0.95873169999999996</v>
      </c>
      <c r="AX108" s="1"/>
      <c r="AY108" s="1">
        <f t="shared" si="139"/>
        <v>0</v>
      </c>
      <c r="AZ108" s="1">
        <f t="shared" si="140"/>
        <v>0.95873169999999996</v>
      </c>
    </row>
    <row r="109" spans="1:52" x14ac:dyDescent="0.3">
      <c r="A109" s="2" t="s">
        <v>29</v>
      </c>
      <c r="E109" s="2">
        <v>79.525700000000001</v>
      </c>
      <c r="F109" s="2">
        <v>0.66310999999999998</v>
      </c>
      <c r="G109" s="2">
        <v>80.785560000000004</v>
      </c>
      <c r="H109" s="2">
        <v>85.870249999999999</v>
      </c>
      <c r="I109" s="2">
        <v>0.61920269999999999</v>
      </c>
      <c r="J109" s="1">
        <v>80.488039999999998</v>
      </c>
      <c r="K109" s="1">
        <f t="shared" si="132"/>
        <v>-0.66310999999999998</v>
      </c>
      <c r="L109" s="1">
        <v>0</v>
      </c>
      <c r="T109" s="1"/>
      <c r="U109" s="1">
        <f t="shared" si="133"/>
        <v>0</v>
      </c>
      <c r="V109" s="1">
        <f t="shared" si="134"/>
        <v>0.95873169999999996</v>
      </c>
      <c r="AD109" s="1"/>
      <c r="AE109" s="1">
        <f t="shared" si="135"/>
        <v>0</v>
      </c>
      <c r="AF109" s="1">
        <f t="shared" si="136"/>
        <v>0.95873169999999996</v>
      </c>
      <c r="AO109" s="1">
        <f t="shared" si="137"/>
        <v>0</v>
      </c>
      <c r="AP109" s="1">
        <f t="shared" si="138"/>
        <v>0.95873169999999996</v>
      </c>
      <c r="AX109" s="1"/>
      <c r="AY109" s="1">
        <f t="shared" si="139"/>
        <v>0</v>
      </c>
      <c r="AZ109" s="1">
        <f t="shared" si="140"/>
        <v>0.95873169999999996</v>
      </c>
    </row>
    <row r="110" spans="1:52" x14ac:dyDescent="0.3">
      <c r="A110" s="2" t="s">
        <v>30</v>
      </c>
      <c r="E110" s="2">
        <v>79.525700000000001</v>
      </c>
      <c r="F110" s="2">
        <v>0.62876500000000002</v>
      </c>
      <c r="G110" s="2">
        <v>81.554580000000001</v>
      </c>
      <c r="H110" s="2">
        <v>85.870249999999999</v>
      </c>
      <c r="I110" s="2">
        <v>0.58915229999999996</v>
      </c>
      <c r="J110" s="1">
        <v>81.271979999999999</v>
      </c>
      <c r="K110" s="1">
        <f t="shared" si="132"/>
        <v>-0.62876500000000002</v>
      </c>
      <c r="L110" s="1">
        <v>0</v>
      </c>
      <c r="T110" s="1"/>
      <c r="U110" s="1">
        <f t="shared" si="133"/>
        <v>0</v>
      </c>
      <c r="V110" s="1">
        <f t="shared" si="134"/>
        <v>0.95873169999999996</v>
      </c>
      <c r="AD110" s="1"/>
      <c r="AE110" s="1">
        <f t="shared" si="135"/>
        <v>0</v>
      </c>
      <c r="AF110" s="1">
        <f t="shared" si="136"/>
        <v>0.95873169999999996</v>
      </c>
      <c r="AO110" s="1">
        <f t="shared" si="137"/>
        <v>0</v>
      </c>
      <c r="AP110" s="1">
        <f t="shared" si="138"/>
        <v>0.95873169999999996</v>
      </c>
      <c r="AX110" s="1"/>
      <c r="AY110" s="1">
        <f t="shared" si="139"/>
        <v>0</v>
      </c>
      <c r="AZ110" s="1">
        <f t="shared" si="140"/>
        <v>0.95873169999999996</v>
      </c>
    </row>
    <row r="111" spans="1:52" x14ac:dyDescent="0.3">
      <c r="A111" s="2" t="s">
        <v>31</v>
      </c>
      <c r="E111" s="2">
        <v>79.52431</v>
      </c>
      <c r="F111" s="2">
        <v>0.58052250000000005</v>
      </c>
      <c r="G111" s="2">
        <v>82.207899999999995</v>
      </c>
      <c r="H111" s="2">
        <v>85.868639999999999</v>
      </c>
      <c r="I111" s="2">
        <v>0.54659239999999998</v>
      </c>
      <c r="J111" s="1">
        <v>81.946340000000006</v>
      </c>
      <c r="K111" s="1">
        <f t="shared" si="132"/>
        <v>-0.58052250000000005</v>
      </c>
      <c r="L111" s="1">
        <v>0</v>
      </c>
      <c r="T111" s="1"/>
      <c r="U111" s="1">
        <f t="shared" si="133"/>
        <v>0</v>
      </c>
      <c r="V111" s="1">
        <f t="shared" si="134"/>
        <v>0.95873169999999996</v>
      </c>
      <c r="AD111" s="1"/>
      <c r="AE111" s="1">
        <f t="shared" si="135"/>
        <v>0</v>
      </c>
      <c r="AF111" s="1">
        <f t="shared" si="136"/>
        <v>0.95873169999999996</v>
      </c>
      <c r="AO111" s="1">
        <f t="shared" si="137"/>
        <v>0</v>
      </c>
      <c r="AP111" s="1">
        <f t="shared" si="138"/>
        <v>0.95873169999999996</v>
      </c>
      <c r="AX111" s="1"/>
      <c r="AY111" s="1">
        <f t="shared" si="139"/>
        <v>0</v>
      </c>
      <c r="AZ111" s="1">
        <f t="shared" si="140"/>
        <v>0.95873169999999996</v>
      </c>
    </row>
    <row r="112" spans="1:52" x14ac:dyDescent="0.3">
      <c r="A112" s="2" t="s">
        <v>32</v>
      </c>
      <c r="E112" s="2">
        <v>79.52431</v>
      </c>
      <c r="F112" s="2">
        <v>0.51666440000000002</v>
      </c>
      <c r="G112" s="2">
        <v>82.701790000000003</v>
      </c>
      <c r="H112" s="2">
        <v>85.868639999999999</v>
      </c>
      <c r="I112" s="2">
        <v>0.48961450000000001</v>
      </c>
      <c r="J112" s="1">
        <v>82.468249999999998</v>
      </c>
      <c r="K112" s="1">
        <f t="shared" si="132"/>
        <v>-0.51666440000000002</v>
      </c>
      <c r="L112" s="1">
        <v>0</v>
      </c>
      <c r="T112" s="1"/>
      <c r="U112" s="1">
        <f t="shared" si="133"/>
        <v>0</v>
      </c>
      <c r="V112" s="1">
        <f t="shared" si="134"/>
        <v>0.95873169999999996</v>
      </c>
      <c r="AD112" s="1"/>
      <c r="AE112" s="1">
        <f t="shared" si="135"/>
        <v>0</v>
      </c>
      <c r="AF112" s="1">
        <f t="shared" si="136"/>
        <v>0.95873169999999996</v>
      </c>
      <c r="AO112" s="1">
        <f t="shared" si="137"/>
        <v>0</v>
      </c>
      <c r="AP112" s="1">
        <f t="shared" si="138"/>
        <v>0.95873169999999996</v>
      </c>
      <c r="AX112" s="1"/>
      <c r="AY112" s="1">
        <f t="shared" si="139"/>
        <v>0</v>
      </c>
      <c r="AZ112" s="1">
        <f t="shared" si="140"/>
        <v>0.95873169999999996</v>
      </c>
    </row>
    <row r="113" spans="1:52" x14ac:dyDescent="0.3">
      <c r="A113" s="2" t="s">
        <v>33</v>
      </c>
      <c r="E113" s="2">
        <v>79.52431</v>
      </c>
      <c r="F113" s="2">
        <v>0.44679360000000001</v>
      </c>
      <c r="G113" s="2">
        <v>83.070769999999996</v>
      </c>
      <c r="H113" s="2">
        <v>85.868639999999999</v>
      </c>
      <c r="I113" s="2">
        <v>0.42642089999999999</v>
      </c>
      <c r="J113" s="1">
        <v>82.868089999999995</v>
      </c>
      <c r="K113" s="1">
        <f t="shared" si="132"/>
        <v>-0.44679360000000001</v>
      </c>
      <c r="L113" s="1">
        <v>0</v>
      </c>
      <c r="T113" s="1"/>
      <c r="U113" s="1">
        <f t="shared" si="133"/>
        <v>0</v>
      </c>
      <c r="V113" s="1">
        <f t="shared" si="134"/>
        <v>0.95873169999999996</v>
      </c>
      <c r="AD113" s="1"/>
      <c r="AE113" s="1">
        <f t="shared" si="135"/>
        <v>0</v>
      </c>
      <c r="AF113" s="1">
        <f t="shared" si="136"/>
        <v>0.95873169999999996</v>
      </c>
      <c r="AO113" s="1">
        <f t="shared" si="137"/>
        <v>0</v>
      </c>
      <c r="AP113" s="1">
        <f t="shared" si="138"/>
        <v>0.95873169999999996</v>
      </c>
      <c r="AX113" s="1"/>
      <c r="AY113" s="1">
        <f t="shared" si="139"/>
        <v>0</v>
      </c>
      <c r="AZ113" s="1">
        <f t="shared" si="140"/>
        <v>0.95873169999999996</v>
      </c>
    </row>
    <row r="114" spans="1:52" x14ac:dyDescent="0.3">
      <c r="A114" s="2" t="s">
        <v>34</v>
      </c>
      <c r="E114" s="2">
        <v>79.52431</v>
      </c>
      <c r="F114" s="2">
        <v>0.37264940000000002</v>
      </c>
      <c r="G114" s="2">
        <v>83.282709999999994</v>
      </c>
      <c r="H114" s="2">
        <v>85.868639999999999</v>
      </c>
      <c r="I114" s="2">
        <v>0.3583693</v>
      </c>
      <c r="J114" s="1">
        <v>83.113010000000003</v>
      </c>
      <c r="K114" s="1">
        <f t="shared" si="132"/>
        <v>-0.37264940000000002</v>
      </c>
      <c r="L114" s="1">
        <v>0</v>
      </c>
      <c r="T114" s="1"/>
      <c r="U114" s="1">
        <f t="shared" si="133"/>
        <v>0</v>
      </c>
      <c r="V114" s="1">
        <f t="shared" si="134"/>
        <v>0.95873169999999996</v>
      </c>
      <c r="AD114" s="1"/>
      <c r="AE114" s="1">
        <f t="shared" si="135"/>
        <v>0</v>
      </c>
      <c r="AF114" s="1">
        <f t="shared" si="136"/>
        <v>0.95873169999999996</v>
      </c>
      <c r="AO114" s="1">
        <f t="shared" si="137"/>
        <v>0</v>
      </c>
      <c r="AP114" s="1">
        <f t="shared" si="138"/>
        <v>0.95873169999999996</v>
      </c>
      <c r="AX114" s="1"/>
      <c r="AY114" s="1">
        <f t="shared" si="139"/>
        <v>0</v>
      </c>
      <c r="AZ114" s="1">
        <f t="shared" si="140"/>
        <v>0.95873169999999996</v>
      </c>
    </row>
    <row r="115" spans="1:52" x14ac:dyDescent="0.3">
      <c r="A115" s="2" t="s">
        <v>35</v>
      </c>
      <c r="E115" s="2">
        <v>79.52431</v>
      </c>
      <c r="F115" s="2">
        <v>0.29403839999999998</v>
      </c>
      <c r="G115" s="2">
        <v>83.253749999999997</v>
      </c>
      <c r="H115" s="2">
        <v>85.868639999999999</v>
      </c>
      <c r="I115" s="2">
        <v>0.28507519999999997</v>
      </c>
      <c r="J115" s="1">
        <v>83.119290000000007</v>
      </c>
      <c r="K115" s="1">
        <f t="shared" si="132"/>
        <v>-0.29403839999999998</v>
      </c>
      <c r="L115" s="1">
        <v>0</v>
      </c>
      <c r="T115" s="1"/>
      <c r="U115" s="1">
        <f t="shared" si="133"/>
        <v>0</v>
      </c>
      <c r="V115" s="1">
        <f t="shared" si="134"/>
        <v>0.95873169999999996</v>
      </c>
      <c r="AD115" s="1"/>
      <c r="AE115" s="1">
        <f t="shared" si="135"/>
        <v>0</v>
      </c>
      <c r="AF115" s="1">
        <f t="shared" si="136"/>
        <v>0.95873169999999996</v>
      </c>
      <c r="AO115" s="1">
        <f t="shared" si="137"/>
        <v>0</v>
      </c>
      <c r="AP115" s="1">
        <f t="shared" si="138"/>
        <v>0.95873169999999996</v>
      </c>
      <c r="AX115" s="1"/>
      <c r="AY115" s="1">
        <f t="shared" si="139"/>
        <v>0</v>
      </c>
      <c r="AZ115" s="1">
        <f t="shared" si="140"/>
        <v>0.95873169999999996</v>
      </c>
    </row>
    <row r="116" spans="1:52" x14ac:dyDescent="0.3">
      <c r="A116" s="3" t="s">
        <v>36</v>
      </c>
      <c r="B116" s="3"/>
      <c r="C116" s="14"/>
      <c r="D116" s="3"/>
      <c r="E116" s="3">
        <v>79.52431</v>
      </c>
      <c r="F116" s="3">
        <v>0.23238700000000001</v>
      </c>
      <c r="G116" s="3">
        <v>83.231830000000002</v>
      </c>
      <c r="H116" s="3">
        <v>85.868639999999999</v>
      </c>
      <c r="I116" s="3">
        <v>0.22675239999999999</v>
      </c>
      <c r="J116" s="4">
        <v>83.125230000000002</v>
      </c>
      <c r="K116" s="1">
        <f t="shared" si="132"/>
        <v>-0.23238700000000001</v>
      </c>
      <c r="L116" s="1">
        <v>0</v>
      </c>
      <c r="M116" s="14"/>
      <c r="N116" s="3"/>
      <c r="O116" s="3"/>
      <c r="P116" s="3"/>
      <c r="Q116" s="3"/>
      <c r="R116" s="3"/>
      <c r="S116" s="3"/>
      <c r="T116" s="4"/>
      <c r="U116" s="1">
        <f t="shared" si="133"/>
        <v>0</v>
      </c>
      <c r="V116" s="1">
        <f t="shared" si="134"/>
        <v>0.95873169999999996</v>
      </c>
      <c r="W116" s="14"/>
      <c r="X116" s="3"/>
      <c r="Y116" s="3"/>
      <c r="Z116" s="3"/>
      <c r="AA116" s="3"/>
      <c r="AB116" s="3"/>
      <c r="AC116" s="3"/>
      <c r="AD116" s="4"/>
      <c r="AE116" s="1">
        <f t="shared" si="135"/>
        <v>0</v>
      </c>
      <c r="AF116" s="1">
        <f t="shared" si="136"/>
        <v>0.95873169999999996</v>
      </c>
      <c r="AG116" s="14"/>
      <c r="AH116" s="3"/>
      <c r="AI116" s="3"/>
      <c r="AJ116" s="3"/>
      <c r="AK116" s="3"/>
      <c r="AL116" s="3"/>
      <c r="AM116" s="3"/>
      <c r="AN116" s="3"/>
      <c r="AO116" s="1">
        <f t="shared" si="137"/>
        <v>0</v>
      </c>
      <c r="AP116" s="1">
        <f t="shared" si="138"/>
        <v>0.95873169999999996</v>
      </c>
      <c r="AQ116" s="14"/>
      <c r="AR116" s="3"/>
      <c r="AS116" s="3"/>
      <c r="AT116" s="3"/>
      <c r="AU116" s="3"/>
      <c r="AV116" s="3"/>
      <c r="AW116" s="3"/>
      <c r="AX116" s="4"/>
      <c r="AY116" s="1">
        <f t="shared" si="139"/>
        <v>0</v>
      </c>
      <c r="AZ116" s="1">
        <f t="shared" si="140"/>
        <v>0.95873169999999996</v>
      </c>
    </row>
    <row r="117" spans="1:52" ht="15" thickBot="1" x14ac:dyDescent="0.35">
      <c r="A117" s="15" t="s">
        <v>49</v>
      </c>
      <c r="B117" s="16">
        <f>SUM(B90:B116)/27</f>
        <v>0</v>
      </c>
      <c r="C117" s="17"/>
      <c r="D117" s="16">
        <f>SUM(D90:D116)/27</f>
        <v>0</v>
      </c>
      <c r="E117" s="16">
        <f t="shared" ref="E117" si="141">SUM(E90:E116)/27</f>
        <v>78.362477777777769</v>
      </c>
      <c r="F117" s="16">
        <f t="shared" ref="F117" si="142">SUM(F90:F116)/27</f>
        <v>0.68747657037037035</v>
      </c>
      <c r="G117" s="16">
        <f t="shared" ref="G117" si="143">SUM(G90:G116)/27</f>
        <v>74.694066666666671</v>
      </c>
      <c r="H117" s="16">
        <f t="shared" ref="H117" si="144">SUM(H90:H116)/27</f>
        <v>84.722682222222204</v>
      </c>
      <c r="I117" s="16">
        <f t="shared" ref="I117" si="145">SUM(I90:I116)/27</f>
        <v>0.6426835481481481</v>
      </c>
      <c r="J117" s="16">
        <f t="shared" ref="J117" si="146">SUM(J90:J116)/27</f>
        <v>74.405247777777774</v>
      </c>
      <c r="K117" s="16">
        <f t="shared" ref="K117" si="147">SUM(K90:K116)/27</f>
        <v>-0.68747657037037035</v>
      </c>
      <c r="L117" s="16">
        <f t="shared" ref="L117" si="148">SUM(L90:L116)/27</f>
        <v>0</v>
      </c>
      <c r="M117" s="17"/>
      <c r="N117" s="16">
        <f>SUM(N90:N116)/27</f>
        <v>0</v>
      </c>
      <c r="O117" s="16">
        <f t="shared" ref="O117" si="149">SUM(O90:O116)/27</f>
        <v>0</v>
      </c>
      <c r="P117" s="16">
        <f t="shared" ref="P117" si="150">SUM(P90:P116)/27</f>
        <v>0</v>
      </c>
      <c r="Q117" s="16">
        <f t="shared" ref="Q117" si="151">SUM(Q90:Q116)/27</f>
        <v>0</v>
      </c>
      <c r="R117" s="16">
        <f t="shared" ref="R117" si="152">SUM(R90:R116)/27</f>
        <v>0</v>
      </c>
      <c r="S117" s="16">
        <f t="shared" ref="S117" si="153">SUM(S90:S116)/27</f>
        <v>0</v>
      </c>
      <c r="T117" s="16">
        <f t="shared" ref="T117" si="154">SUM(T90:T116)/27</f>
        <v>0</v>
      </c>
      <c r="U117" s="16">
        <f t="shared" ref="U117" si="155">SUM(U90:U116)/27</f>
        <v>0</v>
      </c>
      <c r="V117" s="1">
        <f t="shared" si="134"/>
        <v>0.95873169999999996</v>
      </c>
      <c r="W117" s="17"/>
      <c r="X117" s="16">
        <f>SUM(X90:X116)/27</f>
        <v>0</v>
      </c>
      <c r="Y117" s="16">
        <f t="shared" ref="Y117" si="156">SUM(Y90:Y116)/27</f>
        <v>0</v>
      </c>
      <c r="Z117" s="16">
        <f t="shared" ref="Z117" si="157">SUM(Z90:Z116)/27</f>
        <v>0</v>
      </c>
      <c r="AA117" s="16">
        <f t="shared" ref="AA117" si="158">SUM(AA90:AA116)/27</f>
        <v>0</v>
      </c>
      <c r="AB117" s="16">
        <f t="shared" ref="AB117" si="159">SUM(AB90:AB116)/27</f>
        <v>0</v>
      </c>
      <c r="AC117" s="16">
        <f t="shared" ref="AC117" si="160">SUM(AC90:AC116)/27</f>
        <v>0</v>
      </c>
      <c r="AD117" s="16">
        <f t="shared" ref="AD117" si="161">SUM(AD90:AD116)/27</f>
        <v>0</v>
      </c>
      <c r="AE117" s="16">
        <f t="shared" ref="AE117" si="162">SUM(AE90:AE116)/27</f>
        <v>0</v>
      </c>
      <c r="AF117" s="16">
        <f t="shared" ref="AF117" si="163">SUM(AF90:AF116)/27</f>
        <v>0.9587317000000003</v>
      </c>
      <c r="AG117" s="17"/>
      <c r="AH117" s="16">
        <f>SUM(AH90:AH116)/27</f>
        <v>0</v>
      </c>
      <c r="AI117" s="16">
        <f t="shared" ref="AI117" si="164">SUM(AI90:AI116)/27</f>
        <v>0</v>
      </c>
      <c r="AJ117" s="16">
        <f t="shared" ref="AJ117" si="165">SUM(AJ90:AJ116)/27</f>
        <v>0</v>
      </c>
      <c r="AK117" s="16">
        <f t="shared" ref="AK117" si="166">SUM(AK90:AK116)/27</f>
        <v>0</v>
      </c>
      <c r="AL117" s="16">
        <f t="shared" ref="AL117" si="167">SUM(AL90:AL116)/27</f>
        <v>0</v>
      </c>
      <c r="AM117" s="16">
        <f t="shared" ref="AM117" si="168">SUM(AM90:AM116)/27</f>
        <v>0</v>
      </c>
      <c r="AN117" s="16">
        <f t="shared" ref="AN117" si="169">SUM(AN90:AN116)/27</f>
        <v>0</v>
      </c>
      <c r="AO117" s="16">
        <f t="shared" ref="AO117" si="170">SUM(AO90:AO116)/27</f>
        <v>0</v>
      </c>
      <c r="AP117" s="16">
        <f t="shared" ref="AP117" si="171">SUM(AP90:AP116)/27</f>
        <v>0.9587317000000003</v>
      </c>
      <c r="AQ117" s="17"/>
      <c r="AR117" s="16">
        <f>SUM(AR90:AR116)/27</f>
        <v>0</v>
      </c>
      <c r="AS117" s="16">
        <f t="shared" ref="AS117" si="172">SUM(AS90:AS116)/27</f>
        <v>0</v>
      </c>
      <c r="AT117" s="16">
        <f t="shared" ref="AT117" si="173">SUM(AT90:AT116)/27</f>
        <v>0</v>
      </c>
      <c r="AU117" s="16">
        <f t="shared" ref="AU117" si="174">SUM(AU90:AU116)/27</f>
        <v>0</v>
      </c>
      <c r="AV117" s="16">
        <f t="shared" ref="AV117" si="175">SUM(AV90:AV116)/27</f>
        <v>0</v>
      </c>
      <c r="AW117" s="16">
        <f t="shared" ref="AW117" si="176">SUM(AW90:AW116)/27</f>
        <v>0</v>
      </c>
      <c r="AX117" s="16">
        <f t="shared" ref="AX117" si="177">SUM(AX90:AX116)/27</f>
        <v>0</v>
      </c>
      <c r="AY117" s="16">
        <f t="shared" ref="AY117" si="178">SUM(AY90:AY116)/27</f>
        <v>0</v>
      </c>
      <c r="AZ117" s="16">
        <f t="shared" ref="AZ117" si="179">SUM(AZ90:AZ116)/27</f>
        <v>0.9587317000000003</v>
      </c>
    </row>
    <row r="118" spans="1:52" s="10" customFormat="1" ht="15" thickBot="1" x14ac:dyDescent="0.35">
      <c r="A118" s="9" t="s">
        <v>40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</row>
    <row r="119" spans="1:52" x14ac:dyDescent="0.3">
      <c r="A119" s="1" t="s">
        <v>10</v>
      </c>
      <c r="B119" s="1"/>
      <c r="C119" s="11"/>
      <c r="D119" s="1"/>
      <c r="E119" s="1">
        <v>61.85772</v>
      </c>
      <c r="F119" s="1">
        <v>0.95875049999999995</v>
      </c>
      <c r="G119" s="1">
        <v>63.386760000000002</v>
      </c>
      <c r="H119" s="1">
        <v>65.606300000000005</v>
      </c>
      <c r="I119" s="1">
        <v>0.90399180000000001</v>
      </c>
      <c r="J119" s="1">
        <v>63.131349999999998</v>
      </c>
      <c r="K119" s="1">
        <f>B119-F119</f>
        <v>-0.95875049999999995</v>
      </c>
      <c r="L119" s="1">
        <v>0</v>
      </c>
      <c r="M119" s="11"/>
      <c r="N119" s="1"/>
      <c r="O119" s="1"/>
      <c r="P119" s="1"/>
      <c r="Q119" s="1"/>
      <c r="R119" s="1"/>
      <c r="S119" s="1"/>
      <c r="T119" s="1"/>
      <c r="U119" s="1">
        <f>$B$3-P119</f>
        <v>0</v>
      </c>
      <c r="V119" s="1">
        <f>$F$3-P119</f>
        <v>0.95873169999999996</v>
      </c>
      <c r="W119" s="11"/>
      <c r="X119" s="1"/>
      <c r="Y119" s="1"/>
      <c r="Z119" s="1"/>
      <c r="AA119" s="1"/>
      <c r="AB119" s="1"/>
      <c r="AC119" s="1"/>
      <c r="AD119" s="1"/>
      <c r="AE119" s="1">
        <f>$B$3-Z119</f>
        <v>0</v>
      </c>
      <c r="AF119" s="1">
        <f>$F$3-Z119</f>
        <v>0.95873169999999996</v>
      </c>
      <c r="AG119" s="11"/>
      <c r="AH119" s="1"/>
      <c r="AI119" s="1"/>
      <c r="AJ119" s="1"/>
      <c r="AK119" s="1"/>
      <c r="AL119" s="1"/>
      <c r="AM119" s="1"/>
      <c r="AN119" s="1"/>
      <c r="AO119" s="1">
        <f>$B$3-AJ119</f>
        <v>0</v>
      </c>
      <c r="AP119" s="1">
        <f>$F$3-AJ119</f>
        <v>0.95873169999999996</v>
      </c>
      <c r="AQ119" s="11"/>
      <c r="AR119" s="1"/>
      <c r="AS119" s="1"/>
      <c r="AT119" s="1"/>
      <c r="AU119" s="1"/>
      <c r="AV119" s="1"/>
      <c r="AW119" s="1"/>
      <c r="AX119" s="1"/>
      <c r="AY119" s="1">
        <f>$B$3-AT119</f>
        <v>0</v>
      </c>
      <c r="AZ119" s="1">
        <f>$F$3-AT119</f>
        <v>0.95873169999999996</v>
      </c>
    </row>
    <row r="120" spans="1:52" x14ac:dyDescent="0.3">
      <c r="A120" s="2" t="s">
        <v>11</v>
      </c>
      <c r="E120" s="2">
        <v>61.85772</v>
      </c>
      <c r="F120" s="2">
        <v>0.95852009999999999</v>
      </c>
      <c r="G120" s="2">
        <v>64.385710000000003</v>
      </c>
      <c r="H120" s="2">
        <v>65.606300000000005</v>
      </c>
      <c r="I120" s="2">
        <v>0.90378689999999995</v>
      </c>
      <c r="J120" s="1">
        <v>64.130359999999996</v>
      </c>
      <c r="K120" s="1">
        <f t="shared" ref="K120:K145" si="180">B120-F120</f>
        <v>-0.95852009999999999</v>
      </c>
      <c r="L120" s="1">
        <v>0</v>
      </c>
      <c r="T120" s="1"/>
      <c r="U120" s="1">
        <f t="shared" ref="U120:U145" si="181">$B$3-P120</f>
        <v>0</v>
      </c>
      <c r="V120" s="1">
        <f t="shared" ref="V120:V146" si="182">$F$3-P120</f>
        <v>0.95873169999999996</v>
      </c>
      <c r="AD120" s="1"/>
      <c r="AE120" s="1">
        <f t="shared" ref="AE120:AE145" si="183">$B$3-Z120</f>
        <v>0</v>
      </c>
      <c r="AF120" s="1">
        <f t="shared" ref="AF120:AF145" si="184">$F$3-Z120</f>
        <v>0.95873169999999996</v>
      </c>
      <c r="AO120" s="1">
        <f t="shared" ref="AO120:AO145" si="185">$B$3-AJ120</f>
        <v>0</v>
      </c>
      <c r="AP120" s="1">
        <f t="shared" ref="AP120:AP145" si="186">$F$3-AJ120</f>
        <v>0.95873169999999996</v>
      </c>
      <c r="AX120" s="1"/>
      <c r="AY120" s="1">
        <f t="shared" ref="AY120:AY145" si="187">$B$3-AT120</f>
        <v>0</v>
      </c>
      <c r="AZ120" s="1">
        <f t="shared" ref="AZ120:AZ145" si="188">$F$3-AT120</f>
        <v>0.95873169999999996</v>
      </c>
    </row>
    <row r="121" spans="1:52" x14ac:dyDescent="0.3">
      <c r="A121" s="2" t="s">
        <v>12</v>
      </c>
      <c r="E121" s="2">
        <v>61.85772</v>
      </c>
      <c r="F121" s="2">
        <v>0.95815110000000003</v>
      </c>
      <c r="G121" s="2">
        <v>65.384050000000002</v>
      </c>
      <c r="H121" s="2">
        <v>65.606300000000005</v>
      </c>
      <c r="I121" s="2">
        <v>0.90345880000000001</v>
      </c>
      <c r="J121" s="1">
        <v>65.128780000000006</v>
      </c>
      <c r="K121" s="1">
        <f t="shared" si="180"/>
        <v>-0.95815110000000003</v>
      </c>
      <c r="L121" s="1">
        <v>0</v>
      </c>
      <c r="T121" s="1"/>
      <c r="U121" s="1">
        <f t="shared" si="181"/>
        <v>0</v>
      </c>
      <c r="V121" s="1">
        <f t="shared" si="182"/>
        <v>0.95873169999999996</v>
      </c>
      <c r="AD121" s="1"/>
      <c r="AE121" s="1">
        <f t="shared" si="183"/>
        <v>0</v>
      </c>
      <c r="AF121" s="1">
        <f t="shared" si="184"/>
        <v>0.95873169999999996</v>
      </c>
      <c r="AO121" s="1">
        <f t="shared" si="185"/>
        <v>0</v>
      </c>
      <c r="AP121" s="1">
        <f t="shared" si="186"/>
        <v>0.95873169999999996</v>
      </c>
      <c r="AX121" s="1"/>
      <c r="AY121" s="1">
        <f t="shared" si="187"/>
        <v>0</v>
      </c>
      <c r="AZ121" s="1">
        <f t="shared" si="188"/>
        <v>0.95873169999999996</v>
      </c>
    </row>
    <row r="122" spans="1:52" x14ac:dyDescent="0.3">
      <c r="A122" s="2" t="s">
        <v>15</v>
      </c>
      <c r="E122" s="2">
        <v>61.885559999999998</v>
      </c>
      <c r="F122" s="2">
        <v>0.95720079999999996</v>
      </c>
      <c r="G122" s="2">
        <v>66.379739999999998</v>
      </c>
      <c r="H122" s="2">
        <v>65.637690000000006</v>
      </c>
      <c r="I122" s="2">
        <v>0.90256519999999996</v>
      </c>
      <c r="J122" s="1">
        <v>66.124489999999994</v>
      </c>
      <c r="K122" s="1">
        <f t="shared" si="180"/>
        <v>-0.95720079999999996</v>
      </c>
      <c r="L122" s="1">
        <v>0</v>
      </c>
      <c r="T122" s="1"/>
      <c r="U122" s="1">
        <f t="shared" si="181"/>
        <v>0</v>
      </c>
      <c r="V122" s="1">
        <f t="shared" si="182"/>
        <v>0.95873169999999996</v>
      </c>
      <c r="AD122" s="1"/>
      <c r="AE122" s="1">
        <f t="shared" si="183"/>
        <v>0</v>
      </c>
      <c r="AF122" s="1">
        <f t="shared" si="184"/>
        <v>0.95873169999999996</v>
      </c>
      <c r="AO122" s="1">
        <f t="shared" si="185"/>
        <v>0</v>
      </c>
      <c r="AP122" s="1">
        <f t="shared" si="186"/>
        <v>0.95873169999999996</v>
      </c>
      <c r="AX122" s="1"/>
      <c r="AY122" s="1">
        <f t="shared" si="187"/>
        <v>0</v>
      </c>
      <c r="AZ122" s="1">
        <f t="shared" si="188"/>
        <v>0.95873169999999996</v>
      </c>
    </row>
    <row r="123" spans="1:52" x14ac:dyDescent="0.3">
      <c r="A123" s="2" t="s">
        <v>16</v>
      </c>
      <c r="E123" s="2">
        <v>61.885559999999998</v>
      </c>
      <c r="F123" s="2">
        <v>0.95644589999999996</v>
      </c>
      <c r="G123" s="2">
        <v>67.376310000000004</v>
      </c>
      <c r="H123" s="2">
        <v>65.637690000000006</v>
      </c>
      <c r="I123" s="2">
        <v>0.90189399999999997</v>
      </c>
      <c r="J123" s="1">
        <v>67.121260000000007</v>
      </c>
      <c r="K123" s="1">
        <f t="shared" si="180"/>
        <v>-0.95644589999999996</v>
      </c>
      <c r="L123" s="1">
        <v>0</v>
      </c>
      <c r="T123" s="1"/>
      <c r="U123" s="1">
        <f t="shared" si="181"/>
        <v>0</v>
      </c>
      <c r="V123" s="1">
        <f t="shared" si="182"/>
        <v>0.95873169999999996</v>
      </c>
      <c r="AD123" s="1"/>
      <c r="AE123" s="1">
        <f t="shared" si="183"/>
        <v>0</v>
      </c>
      <c r="AF123" s="1">
        <f t="shared" si="184"/>
        <v>0.95873169999999996</v>
      </c>
      <c r="AO123" s="1">
        <f t="shared" si="185"/>
        <v>0</v>
      </c>
      <c r="AP123" s="1">
        <f t="shared" si="186"/>
        <v>0.95873169999999996</v>
      </c>
      <c r="AX123" s="1"/>
      <c r="AY123" s="1">
        <f t="shared" si="187"/>
        <v>0</v>
      </c>
      <c r="AZ123" s="1">
        <f t="shared" si="188"/>
        <v>0.95873169999999996</v>
      </c>
    </row>
    <row r="124" spans="1:52" x14ac:dyDescent="0.3">
      <c r="A124" s="2" t="s">
        <v>25</v>
      </c>
      <c r="E124" s="2">
        <v>61.885559999999998</v>
      </c>
      <c r="F124" s="2">
        <v>0.95525369999999998</v>
      </c>
      <c r="G124" s="2">
        <v>68.370890000000003</v>
      </c>
      <c r="H124" s="2">
        <v>65.637690000000006</v>
      </c>
      <c r="I124" s="2">
        <v>0.90083369999999996</v>
      </c>
      <c r="J124" s="1">
        <v>68.116150000000005</v>
      </c>
      <c r="K124" s="1">
        <f t="shared" si="180"/>
        <v>-0.95525369999999998</v>
      </c>
      <c r="L124" s="1">
        <v>0</v>
      </c>
      <c r="T124" s="1"/>
      <c r="U124" s="1">
        <f t="shared" si="181"/>
        <v>0</v>
      </c>
      <c r="V124" s="1">
        <f t="shared" si="182"/>
        <v>0.95873169999999996</v>
      </c>
      <c r="AD124" s="1"/>
      <c r="AE124" s="1">
        <f t="shared" si="183"/>
        <v>0</v>
      </c>
      <c r="AF124" s="1">
        <f t="shared" si="184"/>
        <v>0.95873169999999996</v>
      </c>
      <c r="AO124" s="1">
        <f t="shared" si="185"/>
        <v>0</v>
      </c>
      <c r="AP124" s="1">
        <f t="shared" si="186"/>
        <v>0.95873169999999996</v>
      </c>
      <c r="AX124" s="1"/>
      <c r="AY124" s="1">
        <f t="shared" si="187"/>
        <v>0</v>
      </c>
      <c r="AZ124" s="1">
        <f t="shared" si="188"/>
        <v>0.95873169999999996</v>
      </c>
    </row>
    <row r="125" spans="1:52" x14ac:dyDescent="0.3">
      <c r="A125" s="2" t="s">
        <v>17</v>
      </c>
      <c r="E125" s="2">
        <v>64.886200000000002</v>
      </c>
      <c r="F125" s="2">
        <v>0.90990420000000005</v>
      </c>
      <c r="G125" s="2">
        <v>69.159670000000006</v>
      </c>
      <c r="H125" s="2">
        <v>69.02704</v>
      </c>
      <c r="I125" s="2">
        <v>0.855572</v>
      </c>
      <c r="J125" s="1">
        <v>68.892269999999996</v>
      </c>
      <c r="K125" s="1">
        <f t="shared" si="180"/>
        <v>-0.90990420000000005</v>
      </c>
      <c r="L125" s="1">
        <v>0</v>
      </c>
      <c r="T125" s="1"/>
      <c r="U125" s="1">
        <f t="shared" si="181"/>
        <v>0</v>
      </c>
      <c r="V125" s="1">
        <f t="shared" si="182"/>
        <v>0.95873169999999996</v>
      </c>
      <c r="AD125" s="1"/>
      <c r="AE125" s="1">
        <f t="shared" si="183"/>
        <v>0</v>
      </c>
      <c r="AF125" s="1">
        <f t="shared" si="184"/>
        <v>0.95873169999999996</v>
      </c>
      <c r="AO125" s="1">
        <f t="shared" si="185"/>
        <v>0</v>
      </c>
      <c r="AP125" s="1">
        <f t="shared" si="186"/>
        <v>0.95873169999999996</v>
      </c>
      <c r="AX125" s="1"/>
      <c r="AY125" s="1">
        <f t="shared" si="187"/>
        <v>0</v>
      </c>
      <c r="AZ125" s="1">
        <f t="shared" si="188"/>
        <v>0.95873169999999996</v>
      </c>
    </row>
    <row r="126" spans="1:52" x14ac:dyDescent="0.3">
      <c r="A126" s="2" t="s">
        <v>18</v>
      </c>
      <c r="E126" s="2">
        <v>64.886200000000002</v>
      </c>
      <c r="F126" s="2">
        <v>0.9082422</v>
      </c>
      <c r="G126" s="2">
        <v>70.151719999999997</v>
      </c>
      <c r="H126" s="2">
        <v>69.02704</v>
      </c>
      <c r="I126" s="2">
        <v>0.85410240000000004</v>
      </c>
      <c r="J126" s="1">
        <v>69.884799999999998</v>
      </c>
      <c r="K126" s="1">
        <f t="shared" si="180"/>
        <v>-0.9082422</v>
      </c>
      <c r="L126" s="1">
        <v>0</v>
      </c>
      <c r="T126" s="1"/>
      <c r="U126" s="1">
        <f t="shared" si="181"/>
        <v>0</v>
      </c>
      <c r="V126" s="1">
        <f t="shared" si="182"/>
        <v>0.95873169999999996</v>
      </c>
      <c r="AD126" s="1"/>
      <c r="AE126" s="1">
        <f t="shared" si="183"/>
        <v>0</v>
      </c>
      <c r="AF126" s="1">
        <f t="shared" si="184"/>
        <v>0.95873169999999996</v>
      </c>
      <c r="AO126" s="1">
        <f t="shared" si="185"/>
        <v>0</v>
      </c>
      <c r="AP126" s="1">
        <f t="shared" si="186"/>
        <v>0.95873169999999996</v>
      </c>
      <c r="AX126" s="1"/>
      <c r="AY126" s="1">
        <f t="shared" si="187"/>
        <v>0</v>
      </c>
      <c r="AZ126" s="1">
        <f t="shared" si="188"/>
        <v>0.95873169999999996</v>
      </c>
    </row>
    <row r="127" spans="1:52" x14ac:dyDescent="0.3">
      <c r="A127" s="2" t="s">
        <v>19</v>
      </c>
      <c r="E127" s="2">
        <v>64.886200000000002</v>
      </c>
      <c r="F127" s="2">
        <v>0.90622440000000004</v>
      </c>
      <c r="G127" s="2">
        <v>71.142060000000001</v>
      </c>
      <c r="H127" s="2">
        <v>69.02704</v>
      </c>
      <c r="I127" s="2">
        <v>0.85231780000000001</v>
      </c>
      <c r="J127" s="1">
        <v>70.875720000000001</v>
      </c>
      <c r="K127" s="1">
        <f t="shared" si="180"/>
        <v>-0.90622440000000004</v>
      </c>
      <c r="L127" s="1">
        <v>0</v>
      </c>
      <c r="T127" s="1"/>
      <c r="U127" s="1">
        <f t="shared" si="181"/>
        <v>0</v>
      </c>
      <c r="V127" s="1">
        <f t="shared" si="182"/>
        <v>0.95873169999999996</v>
      </c>
      <c r="AD127" s="1"/>
      <c r="AE127" s="1">
        <f t="shared" si="183"/>
        <v>0</v>
      </c>
      <c r="AF127" s="1">
        <f t="shared" si="184"/>
        <v>0.95873169999999996</v>
      </c>
      <c r="AO127" s="1">
        <f t="shared" si="185"/>
        <v>0</v>
      </c>
      <c r="AP127" s="1">
        <f t="shared" si="186"/>
        <v>0.95873169999999996</v>
      </c>
      <c r="AX127" s="1"/>
      <c r="AY127" s="1">
        <f t="shared" si="187"/>
        <v>0</v>
      </c>
      <c r="AZ127" s="1">
        <f t="shared" si="188"/>
        <v>0.95873169999999996</v>
      </c>
    </row>
    <row r="128" spans="1:52" x14ac:dyDescent="0.3">
      <c r="A128" s="2" t="s">
        <v>20</v>
      </c>
      <c r="E128" s="2">
        <v>103.3588</v>
      </c>
      <c r="F128" s="2">
        <v>0.56989259999999997</v>
      </c>
      <c r="G128" s="2">
        <v>70.127629999999996</v>
      </c>
      <c r="H128" s="2">
        <v>114.4448</v>
      </c>
      <c r="I128" s="2">
        <v>0.51504830000000001</v>
      </c>
      <c r="J128" s="1">
        <v>69.688180000000003</v>
      </c>
      <c r="K128" s="1">
        <f t="shared" si="180"/>
        <v>-0.56989259999999997</v>
      </c>
      <c r="L128" s="1">
        <v>0</v>
      </c>
      <c r="T128" s="1"/>
      <c r="U128" s="1">
        <f t="shared" si="181"/>
        <v>0</v>
      </c>
      <c r="V128" s="1">
        <f t="shared" si="182"/>
        <v>0.95873169999999996</v>
      </c>
      <c r="AD128" s="1"/>
      <c r="AE128" s="1">
        <f t="shared" si="183"/>
        <v>0</v>
      </c>
      <c r="AF128" s="1">
        <f t="shared" si="184"/>
        <v>0.95873169999999996</v>
      </c>
      <c r="AO128" s="1">
        <f t="shared" si="185"/>
        <v>0</v>
      </c>
      <c r="AP128" s="1">
        <f t="shared" si="186"/>
        <v>0.95873169999999996</v>
      </c>
      <c r="AX128" s="1"/>
      <c r="AY128" s="1">
        <f t="shared" si="187"/>
        <v>0</v>
      </c>
      <c r="AZ128" s="1">
        <f t="shared" si="188"/>
        <v>0.95873169999999996</v>
      </c>
    </row>
    <row r="129" spans="1:52" x14ac:dyDescent="0.3">
      <c r="A129" s="2" t="s">
        <v>21</v>
      </c>
      <c r="E129" s="2">
        <v>103.3588</v>
      </c>
      <c r="F129" s="2">
        <v>0.56899619999999995</v>
      </c>
      <c r="G129" s="2">
        <v>71.120800000000003</v>
      </c>
      <c r="H129" s="2">
        <v>114.4448</v>
      </c>
      <c r="I129" s="2">
        <v>0.514316</v>
      </c>
      <c r="J129" s="1">
        <v>70.682010000000005</v>
      </c>
      <c r="K129" s="1">
        <f t="shared" si="180"/>
        <v>-0.56899619999999995</v>
      </c>
      <c r="L129" s="1">
        <v>0</v>
      </c>
      <c r="T129" s="1"/>
      <c r="U129" s="1">
        <f t="shared" si="181"/>
        <v>0</v>
      </c>
      <c r="V129" s="1">
        <f t="shared" si="182"/>
        <v>0.95873169999999996</v>
      </c>
      <c r="AD129" s="1"/>
      <c r="AE129" s="1">
        <f t="shared" si="183"/>
        <v>0</v>
      </c>
      <c r="AF129" s="1">
        <f t="shared" si="184"/>
        <v>0.95873169999999996</v>
      </c>
      <c r="AO129" s="1">
        <f t="shared" si="185"/>
        <v>0</v>
      </c>
      <c r="AP129" s="1">
        <f t="shared" si="186"/>
        <v>0.95873169999999996</v>
      </c>
      <c r="AX129" s="1"/>
      <c r="AY129" s="1">
        <f t="shared" si="187"/>
        <v>0</v>
      </c>
      <c r="AZ129" s="1">
        <f t="shared" si="188"/>
        <v>0.95873169999999996</v>
      </c>
    </row>
    <row r="130" spans="1:52" x14ac:dyDescent="0.3">
      <c r="A130" s="2" t="s">
        <v>22</v>
      </c>
      <c r="E130" s="2">
        <v>103.3588</v>
      </c>
      <c r="F130" s="2">
        <v>0.56801040000000003</v>
      </c>
      <c r="G130" s="2">
        <v>72.11327</v>
      </c>
      <c r="H130" s="2">
        <v>114.4448</v>
      </c>
      <c r="I130" s="2">
        <v>0.51351040000000003</v>
      </c>
      <c r="J130" s="1">
        <v>71.675200000000004</v>
      </c>
      <c r="K130" s="1">
        <f t="shared" si="180"/>
        <v>-0.56801040000000003</v>
      </c>
      <c r="L130" s="1">
        <v>0</v>
      </c>
      <c r="T130" s="1"/>
      <c r="U130" s="1">
        <f t="shared" si="181"/>
        <v>0</v>
      </c>
      <c r="V130" s="1">
        <f t="shared" si="182"/>
        <v>0.95873169999999996</v>
      </c>
      <c r="AD130" s="1"/>
      <c r="AE130" s="1">
        <f t="shared" si="183"/>
        <v>0</v>
      </c>
      <c r="AF130" s="1">
        <f t="shared" si="184"/>
        <v>0.95873169999999996</v>
      </c>
      <c r="AO130" s="1">
        <f t="shared" si="185"/>
        <v>0</v>
      </c>
      <c r="AP130" s="1">
        <f t="shared" si="186"/>
        <v>0.95873169999999996</v>
      </c>
      <c r="AX130" s="1"/>
      <c r="AY130" s="1">
        <f t="shared" si="187"/>
        <v>0</v>
      </c>
      <c r="AZ130" s="1">
        <f t="shared" si="188"/>
        <v>0.95873169999999996</v>
      </c>
    </row>
    <row r="131" spans="1:52" x14ac:dyDescent="0.3">
      <c r="A131" s="2" t="s">
        <v>23</v>
      </c>
      <c r="E131" s="2">
        <v>86.461920000000006</v>
      </c>
      <c r="F131" s="2">
        <v>0.67597039999999997</v>
      </c>
      <c r="G131" s="2">
        <v>73.868979999999993</v>
      </c>
      <c r="H131" s="2">
        <v>94.035790000000006</v>
      </c>
      <c r="I131" s="2">
        <v>0.6222742</v>
      </c>
      <c r="J131" s="1">
        <v>73.509519999999995</v>
      </c>
      <c r="K131" s="1">
        <f t="shared" si="180"/>
        <v>-0.67597039999999997</v>
      </c>
      <c r="L131" s="1">
        <v>0</v>
      </c>
      <c r="T131" s="1"/>
      <c r="U131" s="1">
        <f t="shared" si="181"/>
        <v>0</v>
      </c>
      <c r="V131" s="1">
        <f t="shared" si="182"/>
        <v>0.95873169999999996</v>
      </c>
      <c r="AD131" s="1"/>
      <c r="AE131" s="1">
        <f t="shared" si="183"/>
        <v>0</v>
      </c>
      <c r="AF131" s="1">
        <f t="shared" si="184"/>
        <v>0.95873169999999996</v>
      </c>
      <c r="AO131" s="1">
        <f t="shared" si="185"/>
        <v>0</v>
      </c>
      <c r="AP131" s="1">
        <f t="shared" si="186"/>
        <v>0.95873169999999996</v>
      </c>
      <c r="AX131" s="1"/>
      <c r="AY131" s="1">
        <f t="shared" si="187"/>
        <v>0</v>
      </c>
      <c r="AZ131" s="1">
        <f t="shared" si="188"/>
        <v>0.95873169999999996</v>
      </c>
    </row>
    <row r="132" spans="1:52" x14ac:dyDescent="0.3">
      <c r="A132" s="2" t="s">
        <v>13</v>
      </c>
      <c r="E132" s="2">
        <v>86.461920000000006</v>
      </c>
      <c r="F132" s="2">
        <v>0.67401920000000004</v>
      </c>
      <c r="G132" s="2">
        <v>74.856430000000003</v>
      </c>
      <c r="H132" s="2">
        <v>94.035790000000006</v>
      </c>
      <c r="I132" s="2">
        <v>0.62062030000000001</v>
      </c>
      <c r="J132" s="1">
        <v>74.497969999999995</v>
      </c>
      <c r="K132" s="1">
        <f t="shared" si="180"/>
        <v>-0.67401920000000004</v>
      </c>
      <c r="L132" s="1">
        <v>0</v>
      </c>
      <c r="T132" s="1"/>
      <c r="U132" s="1">
        <f t="shared" si="181"/>
        <v>0</v>
      </c>
      <c r="V132" s="1">
        <f t="shared" si="182"/>
        <v>0.95873169999999996</v>
      </c>
      <c r="AD132" s="1"/>
      <c r="AE132" s="1">
        <f t="shared" si="183"/>
        <v>0</v>
      </c>
      <c r="AF132" s="1">
        <f t="shared" si="184"/>
        <v>0.95873169999999996</v>
      </c>
      <c r="AO132" s="1">
        <f t="shared" si="185"/>
        <v>0</v>
      </c>
      <c r="AP132" s="1">
        <f t="shared" si="186"/>
        <v>0.95873169999999996</v>
      </c>
      <c r="AX132" s="1"/>
      <c r="AY132" s="1">
        <f t="shared" si="187"/>
        <v>0</v>
      </c>
      <c r="AZ132" s="1">
        <f t="shared" si="188"/>
        <v>0.95873169999999996</v>
      </c>
    </row>
    <row r="133" spans="1:52" x14ac:dyDescent="0.3">
      <c r="A133" s="2" t="s">
        <v>14</v>
      </c>
      <c r="E133" s="2">
        <v>86.461920000000006</v>
      </c>
      <c r="F133" s="2">
        <v>0.67134210000000005</v>
      </c>
      <c r="G133" s="2">
        <v>75.83914</v>
      </c>
      <c r="H133" s="2">
        <v>94.035790000000006</v>
      </c>
      <c r="I133" s="2">
        <v>0.61834979999999995</v>
      </c>
      <c r="J133" s="1">
        <v>75.482039999999998</v>
      </c>
      <c r="K133" s="1">
        <f t="shared" si="180"/>
        <v>-0.67134210000000005</v>
      </c>
      <c r="L133" s="1">
        <v>0</v>
      </c>
      <c r="T133" s="1"/>
      <c r="U133" s="1">
        <f t="shared" si="181"/>
        <v>0</v>
      </c>
      <c r="V133" s="1">
        <f t="shared" si="182"/>
        <v>0.95873169999999996</v>
      </c>
      <c r="AD133" s="1"/>
      <c r="AE133" s="1">
        <f t="shared" si="183"/>
        <v>0</v>
      </c>
      <c r="AF133" s="1">
        <f t="shared" si="184"/>
        <v>0.95873169999999996</v>
      </c>
      <c r="AO133" s="1">
        <f t="shared" si="185"/>
        <v>0</v>
      </c>
      <c r="AP133" s="1">
        <f t="shared" si="186"/>
        <v>0.95873169999999996</v>
      </c>
      <c r="AX133" s="1"/>
      <c r="AY133" s="1">
        <f t="shared" si="187"/>
        <v>0</v>
      </c>
      <c r="AZ133" s="1">
        <f t="shared" si="188"/>
        <v>0.95873169999999996</v>
      </c>
    </row>
    <row r="134" spans="1:52" x14ac:dyDescent="0.3">
      <c r="A134" s="2" t="s">
        <v>26</v>
      </c>
      <c r="E134" s="2">
        <v>88.237780000000001</v>
      </c>
      <c r="F134" s="2">
        <v>0.65388749999999995</v>
      </c>
      <c r="G134" s="2">
        <v>76.724729999999994</v>
      </c>
      <c r="H134" s="2">
        <v>96.144990000000007</v>
      </c>
      <c r="I134" s="2">
        <v>0.60147209999999995</v>
      </c>
      <c r="J134" s="1">
        <v>76.361859999999993</v>
      </c>
      <c r="K134" s="1">
        <f t="shared" si="180"/>
        <v>-0.65388749999999995</v>
      </c>
      <c r="L134" s="1">
        <v>0</v>
      </c>
      <c r="T134" s="1"/>
      <c r="U134" s="1">
        <f t="shared" si="181"/>
        <v>0</v>
      </c>
      <c r="V134" s="1">
        <f t="shared" si="182"/>
        <v>0.95873169999999996</v>
      </c>
      <c r="AD134" s="1"/>
      <c r="AE134" s="1">
        <f t="shared" si="183"/>
        <v>0</v>
      </c>
      <c r="AF134" s="1">
        <f t="shared" si="184"/>
        <v>0.95873169999999996</v>
      </c>
      <c r="AO134" s="1">
        <f t="shared" si="185"/>
        <v>0</v>
      </c>
      <c r="AP134" s="1">
        <f t="shared" si="186"/>
        <v>0.95873169999999996</v>
      </c>
      <c r="AX134" s="1"/>
      <c r="AY134" s="1">
        <f t="shared" si="187"/>
        <v>0</v>
      </c>
      <c r="AZ134" s="1">
        <f t="shared" si="188"/>
        <v>0.95873169999999996</v>
      </c>
    </row>
    <row r="135" spans="1:52" x14ac:dyDescent="0.3">
      <c r="A135" s="2" t="s">
        <v>24</v>
      </c>
      <c r="E135" s="2">
        <v>88.237780000000001</v>
      </c>
      <c r="F135" s="2">
        <v>0.64805170000000001</v>
      </c>
      <c r="G135" s="2">
        <v>77.685810000000004</v>
      </c>
      <c r="H135" s="2">
        <v>96.144990000000007</v>
      </c>
      <c r="I135" s="2">
        <v>0.59653089999999998</v>
      </c>
      <c r="J135" s="1">
        <v>77.326030000000003</v>
      </c>
      <c r="K135" s="1">
        <f t="shared" si="180"/>
        <v>-0.64805170000000001</v>
      </c>
      <c r="L135" s="1">
        <v>0</v>
      </c>
      <c r="T135" s="1"/>
      <c r="U135" s="1">
        <f t="shared" si="181"/>
        <v>0</v>
      </c>
      <c r="V135" s="1">
        <f t="shared" si="182"/>
        <v>0.95873169999999996</v>
      </c>
      <c r="AD135" s="1"/>
      <c r="AE135" s="1">
        <f t="shared" si="183"/>
        <v>0</v>
      </c>
      <c r="AF135" s="1">
        <f t="shared" si="184"/>
        <v>0.95873169999999996</v>
      </c>
      <c r="AO135" s="1">
        <f t="shared" si="185"/>
        <v>0</v>
      </c>
      <c r="AP135" s="1">
        <f t="shared" si="186"/>
        <v>0.95873169999999996</v>
      </c>
      <c r="AX135" s="1"/>
      <c r="AY135" s="1">
        <f t="shared" si="187"/>
        <v>0</v>
      </c>
      <c r="AZ135" s="1">
        <f t="shared" si="188"/>
        <v>0.95873169999999996</v>
      </c>
    </row>
    <row r="136" spans="1:52" x14ac:dyDescent="0.3">
      <c r="A136" s="2" t="s">
        <v>27</v>
      </c>
      <c r="E136" s="2">
        <v>88.237780000000001</v>
      </c>
      <c r="F136" s="2">
        <v>0.63926260000000001</v>
      </c>
      <c r="G136" s="2">
        <v>78.626499999999993</v>
      </c>
      <c r="H136" s="2">
        <v>96.144990000000007</v>
      </c>
      <c r="I136" s="2">
        <v>0.58907560000000003</v>
      </c>
      <c r="J136" s="1">
        <v>78.271420000000006</v>
      </c>
      <c r="K136" s="1">
        <f t="shared" si="180"/>
        <v>-0.63926260000000001</v>
      </c>
      <c r="L136" s="1">
        <v>0</v>
      </c>
      <c r="T136" s="1"/>
      <c r="U136" s="1">
        <f t="shared" si="181"/>
        <v>0</v>
      </c>
      <c r="V136" s="1">
        <f t="shared" si="182"/>
        <v>0.95873169999999996</v>
      </c>
      <c r="AD136" s="1"/>
      <c r="AE136" s="1">
        <f t="shared" si="183"/>
        <v>0</v>
      </c>
      <c r="AF136" s="1">
        <f t="shared" si="184"/>
        <v>0.95873169999999996</v>
      </c>
      <c r="AO136" s="1">
        <f t="shared" si="185"/>
        <v>0</v>
      </c>
      <c r="AP136" s="1">
        <f t="shared" si="186"/>
        <v>0.95873169999999996</v>
      </c>
      <c r="AX136" s="1"/>
      <c r="AY136" s="1">
        <f t="shared" si="187"/>
        <v>0</v>
      </c>
      <c r="AZ136" s="1">
        <f t="shared" si="188"/>
        <v>0.95873169999999996</v>
      </c>
    </row>
    <row r="137" spans="1:52" x14ac:dyDescent="0.3">
      <c r="A137" s="2" t="s">
        <v>28</v>
      </c>
      <c r="E137" s="2">
        <v>79.525700000000001</v>
      </c>
      <c r="F137" s="2">
        <v>0.68881150000000002</v>
      </c>
      <c r="G137" s="2">
        <v>79.950710000000001</v>
      </c>
      <c r="H137" s="2">
        <v>85.870249999999999</v>
      </c>
      <c r="I137" s="2">
        <v>0.64155589999999996</v>
      </c>
      <c r="J137" s="1">
        <v>79.642049999999998</v>
      </c>
      <c r="K137" s="1">
        <f t="shared" si="180"/>
        <v>-0.68881150000000002</v>
      </c>
      <c r="L137" s="1">
        <v>0</v>
      </c>
      <c r="T137" s="1"/>
      <c r="U137" s="1">
        <f t="shared" si="181"/>
        <v>0</v>
      </c>
      <c r="V137" s="1">
        <f t="shared" si="182"/>
        <v>0.95873169999999996</v>
      </c>
      <c r="AD137" s="1"/>
      <c r="AE137" s="1">
        <f t="shared" si="183"/>
        <v>0</v>
      </c>
      <c r="AF137" s="1">
        <f t="shared" si="184"/>
        <v>0.95873169999999996</v>
      </c>
      <c r="AO137" s="1">
        <f t="shared" si="185"/>
        <v>0</v>
      </c>
      <c r="AP137" s="1">
        <f t="shared" si="186"/>
        <v>0.95873169999999996</v>
      </c>
      <c r="AX137" s="1"/>
      <c r="AY137" s="1">
        <f t="shared" si="187"/>
        <v>0</v>
      </c>
      <c r="AZ137" s="1">
        <f t="shared" si="188"/>
        <v>0.95873169999999996</v>
      </c>
    </row>
    <row r="138" spans="1:52" x14ac:dyDescent="0.3">
      <c r="A138" s="2" t="s">
        <v>29</v>
      </c>
      <c r="E138" s="2">
        <v>79.525700000000001</v>
      </c>
      <c r="F138" s="2">
        <v>0.66310999999999998</v>
      </c>
      <c r="G138" s="2">
        <v>80.785560000000004</v>
      </c>
      <c r="H138" s="2">
        <v>85.870249999999999</v>
      </c>
      <c r="I138" s="2">
        <v>0.61920269999999999</v>
      </c>
      <c r="J138" s="1">
        <v>80.488039999999998</v>
      </c>
      <c r="K138" s="1">
        <f t="shared" si="180"/>
        <v>-0.66310999999999998</v>
      </c>
      <c r="L138" s="1">
        <v>0</v>
      </c>
      <c r="T138" s="1"/>
      <c r="U138" s="1">
        <f t="shared" si="181"/>
        <v>0</v>
      </c>
      <c r="V138" s="1">
        <f t="shared" si="182"/>
        <v>0.95873169999999996</v>
      </c>
      <c r="AD138" s="1"/>
      <c r="AE138" s="1">
        <f t="shared" si="183"/>
        <v>0</v>
      </c>
      <c r="AF138" s="1">
        <f t="shared" si="184"/>
        <v>0.95873169999999996</v>
      </c>
      <c r="AO138" s="1">
        <f t="shared" si="185"/>
        <v>0</v>
      </c>
      <c r="AP138" s="1">
        <f t="shared" si="186"/>
        <v>0.95873169999999996</v>
      </c>
      <c r="AX138" s="1"/>
      <c r="AY138" s="1">
        <f t="shared" si="187"/>
        <v>0</v>
      </c>
      <c r="AZ138" s="1">
        <f t="shared" si="188"/>
        <v>0.95873169999999996</v>
      </c>
    </row>
    <row r="139" spans="1:52" x14ac:dyDescent="0.3">
      <c r="A139" s="2" t="s">
        <v>30</v>
      </c>
      <c r="E139" s="2">
        <v>79.525700000000001</v>
      </c>
      <c r="F139" s="2">
        <v>0.62876500000000002</v>
      </c>
      <c r="G139" s="2">
        <v>81.554580000000001</v>
      </c>
      <c r="H139" s="2">
        <v>85.870249999999999</v>
      </c>
      <c r="I139" s="2">
        <v>0.58915229999999996</v>
      </c>
      <c r="J139" s="1">
        <v>81.271979999999999</v>
      </c>
      <c r="K139" s="1">
        <f t="shared" si="180"/>
        <v>-0.62876500000000002</v>
      </c>
      <c r="L139" s="1">
        <v>0</v>
      </c>
      <c r="T139" s="1"/>
      <c r="U139" s="1">
        <f t="shared" si="181"/>
        <v>0</v>
      </c>
      <c r="V139" s="1">
        <f t="shared" si="182"/>
        <v>0.95873169999999996</v>
      </c>
      <c r="AD139" s="1"/>
      <c r="AE139" s="1">
        <f t="shared" si="183"/>
        <v>0</v>
      </c>
      <c r="AF139" s="1">
        <f t="shared" si="184"/>
        <v>0.95873169999999996</v>
      </c>
      <c r="AO139" s="1">
        <f t="shared" si="185"/>
        <v>0</v>
      </c>
      <c r="AP139" s="1">
        <f t="shared" si="186"/>
        <v>0.95873169999999996</v>
      </c>
      <c r="AX139" s="1"/>
      <c r="AY139" s="1">
        <f t="shared" si="187"/>
        <v>0</v>
      </c>
      <c r="AZ139" s="1">
        <f t="shared" si="188"/>
        <v>0.95873169999999996</v>
      </c>
    </row>
    <row r="140" spans="1:52" x14ac:dyDescent="0.3">
      <c r="A140" s="2" t="s">
        <v>31</v>
      </c>
      <c r="E140" s="2">
        <v>79.52431</v>
      </c>
      <c r="F140" s="2">
        <v>0.58052250000000005</v>
      </c>
      <c r="G140" s="2">
        <v>82.207899999999995</v>
      </c>
      <c r="H140" s="2">
        <v>85.868639999999999</v>
      </c>
      <c r="I140" s="2">
        <v>0.54659239999999998</v>
      </c>
      <c r="J140" s="1">
        <v>81.946340000000006</v>
      </c>
      <c r="K140" s="1">
        <f t="shared" si="180"/>
        <v>-0.58052250000000005</v>
      </c>
      <c r="L140" s="1">
        <v>0</v>
      </c>
      <c r="T140" s="1"/>
      <c r="U140" s="1">
        <f t="shared" si="181"/>
        <v>0</v>
      </c>
      <c r="V140" s="1">
        <f t="shared" si="182"/>
        <v>0.95873169999999996</v>
      </c>
      <c r="AD140" s="1"/>
      <c r="AE140" s="1">
        <f t="shared" si="183"/>
        <v>0</v>
      </c>
      <c r="AF140" s="1">
        <f t="shared" si="184"/>
        <v>0.95873169999999996</v>
      </c>
      <c r="AO140" s="1">
        <f t="shared" si="185"/>
        <v>0</v>
      </c>
      <c r="AP140" s="1">
        <f t="shared" si="186"/>
        <v>0.95873169999999996</v>
      </c>
      <c r="AX140" s="1"/>
      <c r="AY140" s="1">
        <f t="shared" si="187"/>
        <v>0</v>
      </c>
      <c r="AZ140" s="1">
        <f t="shared" si="188"/>
        <v>0.95873169999999996</v>
      </c>
    </row>
    <row r="141" spans="1:52" x14ac:dyDescent="0.3">
      <c r="A141" s="2" t="s">
        <v>32</v>
      </c>
      <c r="E141" s="2">
        <v>79.52431</v>
      </c>
      <c r="F141" s="2">
        <v>0.51666440000000002</v>
      </c>
      <c r="G141" s="2">
        <v>82.701790000000003</v>
      </c>
      <c r="H141" s="2">
        <v>85.868639999999999</v>
      </c>
      <c r="I141" s="2">
        <v>0.48961450000000001</v>
      </c>
      <c r="J141" s="1">
        <v>82.468249999999998</v>
      </c>
      <c r="K141" s="1">
        <f t="shared" si="180"/>
        <v>-0.51666440000000002</v>
      </c>
      <c r="L141" s="1">
        <v>0</v>
      </c>
      <c r="T141" s="1"/>
      <c r="U141" s="1">
        <f t="shared" si="181"/>
        <v>0</v>
      </c>
      <c r="V141" s="1">
        <f t="shared" si="182"/>
        <v>0.95873169999999996</v>
      </c>
      <c r="AD141" s="1"/>
      <c r="AE141" s="1">
        <f t="shared" si="183"/>
        <v>0</v>
      </c>
      <c r="AF141" s="1">
        <f t="shared" si="184"/>
        <v>0.95873169999999996</v>
      </c>
      <c r="AO141" s="1">
        <f t="shared" si="185"/>
        <v>0</v>
      </c>
      <c r="AP141" s="1">
        <f t="shared" si="186"/>
        <v>0.95873169999999996</v>
      </c>
      <c r="AX141" s="1"/>
      <c r="AY141" s="1">
        <f t="shared" si="187"/>
        <v>0</v>
      </c>
      <c r="AZ141" s="1">
        <f t="shared" si="188"/>
        <v>0.95873169999999996</v>
      </c>
    </row>
    <row r="142" spans="1:52" x14ac:dyDescent="0.3">
      <c r="A142" s="2" t="s">
        <v>33</v>
      </c>
      <c r="E142" s="2">
        <v>79.52431</v>
      </c>
      <c r="F142" s="2">
        <v>0.44679360000000001</v>
      </c>
      <c r="G142" s="2">
        <v>83.070769999999996</v>
      </c>
      <c r="H142" s="2">
        <v>85.868639999999999</v>
      </c>
      <c r="I142" s="2">
        <v>0.42642089999999999</v>
      </c>
      <c r="J142" s="1">
        <v>82.868089999999995</v>
      </c>
      <c r="K142" s="1">
        <f t="shared" si="180"/>
        <v>-0.44679360000000001</v>
      </c>
      <c r="L142" s="1">
        <v>0</v>
      </c>
      <c r="T142" s="1"/>
      <c r="U142" s="1">
        <f t="shared" si="181"/>
        <v>0</v>
      </c>
      <c r="V142" s="1">
        <f t="shared" si="182"/>
        <v>0.95873169999999996</v>
      </c>
      <c r="AD142" s="1"/>
      <c r="AE142" s="1">
        <f t="shared" si="183"/>
        <v>0</v>
      </c>
      <c r="AF142" s="1">
        <f t="shared" si="184"/>
        <v>0.95873169999999996</v>
      </c>
      <c r="AO142" s="1">
        <f t="shared" si="185"/>
        <v>0</v>
      </c>
      <c r="AP142" s="1">
        <f t="shared" si="186"/>
        <v>0.95873169999999996</v>
      </c>
      <c r="AX142" s="1"/>
      <c r="AY142" s="1">
        <f t="shared" si="187"/>
        <v>0</v>
      </c>
      <c r="AZ142" s="1">
        <f t="shared" si="188"/>
        <v>0.95873169999999996</v>
      </c>
    </row>
    <row r="143" spans="1:52" x14ac:dyDescent="0.3">
      <c r="A143" s="2" t="s">
        <v>34</v>
      </c>
      <c r="E143" s="2">
        <v>79.52431</v>
      </c>
      <c r="F143" s="2">
        <v>0.37264940000000002</v>
      </c>
      <c r="G143" s="2">
        <v>83.282709999999994</v>
      </c>
      <c r="H143" s="2">
        <v>85.868639999999999</v>
      </c>
      <c r="I143" s="2">
        <v>0.3583693</v>
      </c>
      <c r="J143" s="1">
        <v>83.113010000000003</v>
      </c>
      <c r="K143" s="1">
        <f t="shared" si="180"/>
        <v>-0.37264940000000002</v>
      </c>
      <c r="L143" s="1">
        <v>0</v>
      </c>
      <c r="T143" s="1"/>
      <c r="U143" s="1">
        <f t="shared" si="181"/>
        <v>0</v>
      </c>
      <c r="V143" s="1">
        <f t="shared" si="182"/>
        <v>0.95873169999999996</v>
      </c>
      <c r="AD143" s="1"/>
      <c r="AE143" s="1">
        <f t="shared" si="183"/>
        <v>0</v>
      </c>
      <c r="AF143" s="1">
        <f t="shared" si="184"/>
        <v>0.95873169999999996</v>
      </c>
      <c r="AO143" s="1">
        <f t="shared" si="185"/>
        <v>0</v>
      </c>
      <c r="AP143" s="1">
        <f t="shared" si="186"/>
        <v>0.95873169999999996</v>
      </c>
      <c r="AX143" s="1"/>
      <c r="AY143" s="1">
        <f t="shared" si="187"/>
        <v>0</v>
      </c>
      <c r="AZ143" s="1">
        <f t="shared" si="188"/>
        <v>0.95873169999999996</v>
      </c>
    </row>
    <row r="144" spans="1:52" x14ac:dyDescent="0.3">
      <c r="A144" s="2" t="s">
        <v>35</v>
      </c>
      <c r="E144" s="2">
        <v>79.52431</v>
      </c>
      <c r="F144" s="2">
        <v>0.29403839999999998</v>
      </c>
      <c r="G144" s="2">
        <v>83.253749999999997</v>
      </c>
      <c r="H144" s="2">
        <v>85.868639999999999</v>
      </c>
      <c r="I144" s="2">
        <v>0.28507519999999997</v>
      </c>
      <c r="J144" s="1">
        <v>83.119290000000007</v>
      </c>
      <c r="K144" s="1">
        <f t="shared" si="180"/>
        <v>-0.29403839999999998</v>
      </c>
      <c r="L144" s="1">
        <v>0</v>
      </c>
      <c r="T144" s="1"/>
      <c r="U144" s="1">
        <f t="shared" si="181"/>
        <v>0</v>
      </c>
      <c r="V144" s="1">
        <f t="shared" si="182"/>
        <v>0.95873169999999996</v>
      </c>
      <c r="AD144" s="1"/>
      <c r="AE144" s="1">
        <f t="shared" si="183"/>
        <v>0</v>
      </c>
      <c r="AF144" s="1">
        <f t="shared" si="184"/>
        <v>0.95873169999999996</v>
      </c>
      <c r="AO144" s="1">
        <f t="shared" si="185"/>
        <v>0</v>
      </c>
      <c r="AP144" s="1">
        <f t="shared" si="186"/>
        <v>0.95873169999999996</v>
      </c>
      <c r="AX144" s="1"/>
      <c r="AY144" s="1">
        <f t="shared" si="187"/>
        <v>0</v>
      </c>
      <c r="AZ144" s="1">
        <f t="shared" si="188"/>
        <v>0.95873169999999996</v>
      </c>
    </row>
    <row r="145" spans="1:52" x14ac:dyDescent="0.3">
      <c r="A145" s="3" t="s">
        <v>36</v>
      </c>
      <c r="B145" s="3"/>
      <c r="C145" s="14"/>
      <c r="D145" s="3"/>
      <c r="E145" s="3">
        <v>79.52431</v>
      </c>
      <c r="F145" s="3">
        <v>0.23238700000000001</v>
      </c>
      <c r="G145" s="3">
        <v>83.231830000000002</v>
      </c>
      <c r="H145" s="3">
        <v>85.868639999999999</v>
      </c>
      <c r="I145" s="3">
        <v>0.22675239999999999</v>
      </c>
      <c r="J145" s="4">
        <v>83.125230000000002</v>
      </c>
      <c r="K145" s="1">
        <f t="shared" si="180"/>
        <v>-0.23238700000000001</v>
      </c>
      <c r="L145" s="1">
        <v>0</v>
      </c>
      <c r="M145" s="14"/>
      <c r="N145" s="3"/>
      <c r="O145" s="3"/>
      <c r="P145" s="3"/>
      <c r="Q145" s="3"/>
      <c r="R145" s="3"/>
      <c r="S145" s="3"/>
      <c r="T145" s="4"/>
      <c r="U145" s="1">
        <f t="shared" si="181"/>
        <v>0</v>
      </c>
      <c r="V145" s="1">
        <f t="shared" si="182"/>
        <v>0.95873169999999996</v>
      </c>
      <c r="W145" s="14"/>
      <c r="X145" s="3"/>
      <c r="Y145" s="3"/>
      <c r="Z145" s="3"/>
      <c r="AA145" s="3"/>
      <c r="AB145" s="3"/>
      <c r="AC145" s="3"/>
      <c r="AD145" s="4"/>
      <c r="AE145" s="1">
        <f t="shared" si="183"/>
        <v>0</v>
      </c>
      <c r="AF145" s="1">
        <f t="shared" si="184"/>
        <v>0.95873169999999996</v>
      </c>
      <c r="AG145" s="14"/>
      <c r="AH145" s="3"/>
      <c r="AI145" s="3"/>
      <c r="AJ145" s="3"/>
      <c r="AK145" s="3"/>
      <c r="AL145" s="3"/>
      <c r="AM145" s="3"/>
      <c r="AN145" s="3"/>
      <c r="AO145" s="1">
        <f t="shared" si="185"/>
        <v>0</v>
      </c>
      <c r="AP145" s="1">
        <f t="shared" si="186"/>
        <v>0.95873169999999996</v>
      </c>
      <c r="AQ145" s="14"/>
      <c r="AR145" s="3"/>
      <c r="AS145" s="3"/>
      <c r="AT145" s="3"/>
      <c r="AU145" s="3"/>
      <c r="AV145" s="3"/>
      <c r="AW145" s="3"/>
      <c r="AX145" s="4"/>
      <c r="AY145" s="1">
        <f t="shared" si="187"/>
        <v>0</v>
      </c>
      <c r="AZ145" s="1">
        <f t="shared" si="188"/>
        <v>0.95873169999999996</v>
      </c>
    </row>
    <row r="146" spans="1:52" ht="15" thickBot="1" x14ac:dyDescent="0.35">
      <c r="A146" s="15" t="s">
        <v>49</v>
      </c>
      <c r="B146" s="16">
        <f>SUM(B119:B145)/27</f>
        <v>0</v>
      </c>
      <c r="C146" s="17"/>
      <c r="D146" s="16">
        <f>SUM(D119:D145)/27</f>
        <v>0</v>
      </c>
      <c r="E146" s="16">
        <f t="shared" ref="E146" si="189">SUM(E119:E145)/27</f>
        <v>78.362477777777769</v>
      </c>
      <c r="F146" s="16">
        <f t="shared" ref="F146" si="190">SUM(F119:F145)/27</f>
        <v>0.68747657037037035</v>
      </c>
      <c r="G146" s="16">
        <f t="shared" ref="G146" si="191">SUM(G119:G145)/27</f>
        <v>74.694066666666671</v>
      </c>
      <c r="H146" s="16">
        <f t="shared" ref="H146" si="192">SUM(H119:H145)/27</f>
        <v>84.722682222222204</v>
      </c>
      <c r="I146" s="16">
        <f t="shared" ref="I146" si="193">SUM(I119:I145)/27</f>
        <v>0.6426835481481481</v>
      </c>
      <c r="J146" s="16">
        <f t="shared" ref="J146" si="194">SUM(J119:J145)/27</f>
        <v>74.405247777777774</v>
      </c>
      <c r="K146" s="16">
        <f t="shared" ref="K146" si="195">SUM(K119:K145)/27</f>
        <v>-0.68747657037037035</v>
      </c>
      <c r="L146" s="16">
        <f t="shared" ref="L146" si="196">SUM(L119:L145)/27</f>
        <v>0</v>
      </c>
      <c r="M146" s="17"/>
      <c r="N146" s="16">
        <f>SUM(N119:N145)/27</f>
        <v>0</v>
      </c>
      <c r="O146" s="16">
        <f t="shared" ref="O146" si="197">SUM(O119:O145)/27</f>
        <v>0</v>
      </c>
      <c r="P146" s="16">
        <f t="shared" ref="P146" si="198">SUM(P119:P145)/27</f>
        <v>0</v>
      </c>
      <c r="Q146" s="16">
        <f t="shared" ref="Q146" si="199">SUM(Q119:Q145)/27</f>
        <v>0</v>
      </c>
      <c r="R146" s="16">
        <f t="shared" ref="R146" si="200">SUM(R119:R145)/27</f>
        <v>0</v>
      </c>
      <c r="S146" s="16">
        <f t="shared" ref="S146" si="201">SUM(S119:S145)/27</f>
        <v>0</v>
      </c>
      <c r="T146" s="16">
        <f t="shared" ref="T146" si="202">SUM(T119:T145)/27</f>
        <v>0</v>
      </c>
      <c r="U146" s="16">
        <f t="shared" ref="U146" si="203">SUM(U119:U145)/27</f>
        <v>0</v>
      </c>
      <c r="V146" s="1">
        <f t="shared" si="182"/>
        <v>0.95873169999999996</v>
      </c>
      <c r="W146" s="17"/>
      <c r="X146" s="16">
        <f>SUM(X119:X145)/27</f>
        <v>0</v>
      </c>
      <c r="Y146" s="16">
        <f t="shared" ref="Y146" si="204">SUM(Y119:Y145)/27</f>
        <v>0</v>
      </c>
      <c r="Z146" s="16">
        <f t="shared" ref="Z146" si="205">SUM(Z119:Z145)/27</f>
        <v>0</v>
      </c>
      <c r="AA146" s="16">
        <f t="shared" ref="AA146" si="206">SUM(AA119:AA145)/27</f>
        <v>0</v>
      </c>
      <c r="AB146" s="16">
        <f t="shared" ref="AB146" si="207">SUM(AB119:AB145)/27</f>
        <v>0</v>
      </c>
      <c r="AC146" s="16">
        <f t="shared" ref="AC146" si="208">SUM(AC119:AC145)/27</f>
        <v>0</v>
      </c>
      <c r="AD146" s="16">
        <f t="shared" ref="AD146" si="209">SUM(AD119:AD145)/27</f>
        <v>0</v>
      </c>
      <c r="AE146" s="16">
        <f t="shared" ref="AE146" si="210">SUM(AE119:AE145)/27</f>
        <v>0</v>
      </c>
      <c r="AF146" s="16">
        <f t="shared" ref="AF146" si="211">SUM(AF119:AF145)/27</f>
        <v>0.9587317000000003</v>
      </c>
      <c r="AG146" s="17"/>
      <c r="AH146" s="16">
        <f>SUM(AH119:AH145)/27</f>
        <v>0</v>
      </c>
      <c r="AI146" s="16">
        <f t="shared" ref="AI146" si="212">SUM(AI119:AI145)/27</f>
        <v>0</v>
      </c>
      <c r="AJ146" s="16">
        <f t="shared" ref="AJ146" si="213">SUM(AJ119:AJ145)/27</f>
        <v>0</v>
      </c>
      <c r="AK146" s="16">
        <f t="shared" ref="AK146" si="214">SUM(AK119:AK145)/27</f>
        <v>0</v>
      </c>
      <c r="AL146" s="16">
        <f t="shared" ref="AL146" si="215">SUM(AL119:AL145)/27</f>
        <v>0</v>
      </c>
      <c r="AM146" s="16">
        <f t="shared" ref="AM146" si="216">SUM(AM119:AM145)/27</f>
        <v>0</v>
      </c>
      <c r="AN146" s="16">
        <f t="shared" ref="AN146" si="217">SUM(AN119:AN145)/27</f>
        <v>0</v>
      </c>
      <c r="AO146" s="16">
        <f t="shared" ref="AO146" si="218">SUM(AO119:AO145)/27</f>
        <v>0</v>
      </c>
      <c r="AP146" s="16">
        <f t="shared" ref="AP146" si="219">SUM(AP119:AP145)/27</f>
        <v>0.9587317000000003</v>
      </c>
      <c r="AQ146" s="17"/>
      <c r="AR146" s="16">
        <f>SUM(AR119:AR145)/27</f>
        <v>0</v>
      </c>
      <c r="AS146" s="16">
        <f t="shared" ref="AS146" si="220">SUM(AS119:AS145)/27</f>
        <v>0</v>
      </c>
      <c r="AT146" s="16">
        <f t="shared" ref="AT146" si="221">SUM(AT119:AT145)/27</f>
        <v>0</v>
      </c>
      <c r="AU146" s="16">
        <f t="shared" ref="AU146" si="222">SUM(AU119:AU145)/27</f>
        <v>0</v>
      </c>
      <c r="AV146" s="16">
        <f t="shared" ref="AV146" si="223">SUM(AV119:AV145)/27</f>
        <v>0</v>
      </c>
      <c r="AW146" s="16">
        <f t="shared" ref="AW146" si="224">SUM(AW119:AW145)/27</f>
        <v>0</v>
      </c>
      <c r="AX146" s="16">
        <f t="shared" ref="AX146" si="225">SUM(AX119:AX145)/27</f>
        <v>0</v>
      </c>
      <c r="AY146" s="16">
        <f t="shared" ref="AY146" si="226">SUM(AY119:AY145)/27</f>
        <v>0</v>
      </c>
      <c r="AZ146" s="16">
        <f t="shared" ref="AZ146" si="227">SUM(AZ119:AZ145)/27</f>
        <v>0.9587317000000003</v>
      </c>
    </row>
    <row r="147" spans="1:52" s="10" customFormat="1" ht="15" thickBot="1" x14ac:dyDescent="0.35">
      <c r="A147" s="9" t="s">
        <v>39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</row>
    <row r="148" spans="1:52" x14ac:dyDescent="0.3">
      <c r="A148" s="1" t="s">
        <v>10</v>
      </c>
      <c r="B148" s="1"/>
      <c r="C148" s="11"/>
      <c r="D148" s="1"/>
      <c r="E148" s="1">
        <v>61.85772</v>
      </c>
      <c r="F148" s="1">
        <v>0.95875049999999995</v>
      </c>
      <c r="G148" s="1">
        <v>63.386760000000002</v>
      </c>
      <c r="H148" s="1">
        <v>65.606300000000005</v>
      </c>
      <c r="I148" s="1">
        <v>0.90399180000000001</v>
      </c>
      <c r="J148" s="1">
        <v>63.131349999999998</v>
      </c>
      <c r="K148" s="1">
        <f>B148-F148</f>
        <v>-0.95875049999999995</v>
      </c>
      <c r="L148" s="1">
        <v>0</v>
      </c>
      <c r="M148" s="11"/>
      <c r="N148" s="1"/>
      <c r="O148" s="1"/>
      <c r="P148" s="1"/>
      <c r="Q148" s="1"/>
      <c r="R148" s="1"/>
      <c r="S148" s="1"/>
      <c r="T148" s="1"/>
      <c r="U148" s="1">
        <f>$B$3-P148</f>
        <v>0</v>
      </c>
      <c r="V148" s="1">
        <f>$F$3-P148</f>
        <v>0.95873169999999996</v>
      </c>
      <c r="W148" s="11"/>
      <c r="X148" s="1"/>
      <c r="Y148" s="1"/>
      <c r="Z148" s="1"/>
      <c r="AA148" s="1"/>
      <c r="AB148" s="1"/>
      <c r="AC148" s="1"/>
      <c r="AD148" s="1"/>
      <c r="AE148" s="1">
        <f>$B$3-Z148</f>
        <v>0</v>
      </c>
      <c r="AF148" s="1">
        <f>$F$3-Z148</f>
        <v>0.95873169999999996</v>
      </c>
      <c r="AG148" s="11"/>
      <c r="AH148" s="1"/>
      <c r="AI148" s="1"/>
      <c r="AJ148" s="1"/>
      <c r="AK148" s="1"/>
      <c r="AL148" s="1"/>
      <c r="AM148" s="1"/>
      <c r="AN148" s="1"/>
      <c r="AO148" s="1">
        <f>$B$3-AJ148</f>
        <v>0</v>
      </c>
      <c r="AP148" s="1">
        <f>$F$3-AJ148</f>
        <v>0.95873169999999996</v>
      </c>
      <c r="AQ148" s="11"/>
      <c r="AR148" s="1"/>
      <c r="AS148" s="1"/>
      <c r="AT148" s="1"/>
      <c r="AU148" s="1"/>
      <c r="AV148" s="1"/>
      <c r="AW148" s="1"/>
      <c r="AX148" s="1"/>
      <c r="AY148" s="1">
        <f>$B$3-AT148</f>
        <v>0</v>
      </c>
      <c r="AZ148" s="1">
        <f>$F$3-AT148</f>
        <v>0.95873169999999996</v>
      </c>
    </row>
    <row r="149" spans="1:52" x14ac:dyDescent="0.3">
      <c r="A149" s="2" t="s">
        <v>11</v>
      </c>
      <c r="E149" s="2">
        <v>61.85772</v>
      </c>
      <c r="F149" s="2">
        <v>0.95852009999999999</v>
      </c>
      <c r="G149" s="2">
        <v>64.385710000000003</v>
      </c>
      <c r="H149" s="2">
        <v>65.606300000000005</v>
      </c>
      <c r="I149" s="2">
        <v>0.90378689999999995</v>
      </c>
      <c r="J149" s="1">
        <v>64.130359999999996</v>
      </c>
      <c r="K149" s="1">
        <f t="shared" ref="K149:K174" si="228">B149-F149</f>
        <v>-0.95852009999999999</v>
      </c>
      <c r="L149" s="1">
        <v>0</v>
      </c>
      <c r="T149" s="1"/>
      <c r="U149" s="1">
        <f t="shared" ref="U149:U174" si="229">$B$3-P149</f>
        <v>0</v>
      </c>
      <c r="V149" s="1">
        <f t="shared" ref="V149:V175" si="230">$F$3-P149</f>
        <v>0.95873169999999996</v>
      </c>
      <c r="AD149" s="1"/>
      <c r="AE149" s="1">
        <f t="shared" ref="AE149:AE174" si="231">$B$3-Z149</f>
        <v>0</v>
      </c>
      <c r="AF149" s="1">
        <f t="shared" ref="AF149:AF174" si="232">$F$3-Z149</f>
        <v>0.95873169999999996</v>
      </c>
      <c r="AO149" s="1">
        <f t="shared" ref="AO149:AO174" si="233">$B$3-AJ149</f>
        <v>0</v>
      </c>
      <c r="AP149" s="1">
        <f t="shared" ref="AP149:AP174" si="234">$F$3-AJ149</f>
        <v>0.95873169999999996</v>
      </c>
      <c r="AX149" s="1"/>
      <c r="AY149" s="1">
        <f t="shared" ref="AY149:AY174" si="235">$B$3-AT149</f>
        <v>0</v>
      </c>
      <c r="AZ149" s="1">
        <f t="shared" ref="AZ149:AZ174" si="236">$F$3-AT149</f>
        <v>0.95873169999999996</v>
      </c>
    </row>
    <row r="150" spans="1:52" x14ac:dyDescent="0.3">
      <c r="A150" s="2" t="s">
        <v>12</v>
      </c>
      <c r="E150" s="2">
        <v>61.85772</v>
      </c>
      <c r="F150" s="2">
        <v>0.95815110000000003</v>
      </c>
      <c r="G150" s="2">
        <v>65.384050000000002</v>
      </c>
      <c r="H150" s="2">
        <v>65.606300000000005</v>
      </c>
      <c r="I150" s="2">
        <v>0.90345880000000001</v>
      </c>
      <c r="J150" s="1">
        <v>65.128780000000006</v>
      </c>
      <c r="K150" s="1">
        <f t="shared" si="228"/>
        <v>-0.95815110000000003</v>
      </c>
      <c r="L150" s="1">
        <v>0</v>
      </c>
      <c r="T150" s="1"/>
      <c r="U150" s="1">
        <f t="shared" si="229"/>
        <v>0</v>
      </c>
      <c r="V150" s="1">
        <f t="shared" si="230"/>
        <v>0.95873169999999996</v>
      </c>
      <c r="AD150" s="1"/>
      <c r="AE150" s="1">
        <f t="shared" si="231"/>
        <v>0</v>
      </c>
      <c r="AF150" s="1">
        <f t="shared" si="232"/>
        <v>0.95873169999999996</v>
      </c>
      <c r="AO150" s="1">
        <f t="shared" si="233"/>
        <v>0</v>
      </c>
      <c r="AP150" s="1">
        <f t="shared" si="234"/>
        <v>0.95873169999999996</v>
      </c>
      <c r="AX150" s="1"/>
      <c r="AY150" s="1">
        <f t="shared" si="235"/>
        <v>0</v>
      </c>
      <c r="AZ150" s="1">
        <f t="shared" si="236"/>
        <v>0.95873169999999996</v>
      </c>
    </row>
    <row r="151" spans="1:52" x14ac:dyDescent="0.3">
      <c r="A151" s="2" t="s">
        <v>15</v>
      </c>
      <c r="E151" s="2">
        <v>61.885559999999998</v>
      </c>
      <c r="F151" s="2">
        <v>0.95720079999999996</v>
      </c>
      <c r="G151" s="2">
        <v>66.379739999999998</v>
      </c>
      <c r="H151" s="2">
        <v>65.637690000000006</v>
      </c>
      <c r="I151" s="2">
        <v>0.90256519999999996</v>
      </c>
      <c r="J151" s="1">
        <v>66.124489999999994</v>
      </c>
      <c r="K151" s="1">
        <f t="shared" si="228"/>
        <v>-0.95720079999999996</v>
      </c>
      <c r="L151" s="1">
        <v>0</v>
      </c>
      <c r="T151" s="1"/>
      <c r="U151" s="1">
        <f t="shared" si="229"/>
        <v>0</v>
      </c>
      <c r="V151" s="1">
        <f t="shared" si="230"/>
        <v>0.95873169999999996</v>
      </c>
      <c r="AD151" s="1"/>
      <c r="AE151" s="1">
        <f t="shared" si="231"/>
        <v>0</v>
      </c>
      <c r="AF151" s="1">
        <f t="shared" si="232"/>
        <v>0.95873169999999996</v>
      </c>
      <c r="AO151" s="1">
        <f t="shared" si="233"/>
        <v>0</v>
      </c>
      <c r="AP151" s="1">
        <f t="shared" si="234"/>
        <v>0.95873169999999996</v>
      </c>
      <c r="AX151" s="1"/>
      <c r="AY151" s="1">
        <f t="shared" si="235"/>
        <v>0</v>
      </c>
      <c r="AZ151" s="1">
        <f t="shared" si="236"/>
        <v>0.95873169999999996</v>
      </c>
    </row>
    <row r="152" spans="1:52" x14ac:dyDescent="0.3">
      <c r="A152" s="2" t="s">
        <v>16</v>
      </c>
      <c r="E152" s="2">
        <v>61.885559999999998</v>
      </c>
      <c r="F152" s="2">
        <v>0.95644589999999996</v>
      </c>
      <c r="G152" s="2">
        <v>67.376310000000004</v>
      </c>
      <c r="H152" s="2">
        <v>65.637690000000006</v>
      </c>
      <c r="I152" s="2">
        <v>0.90189399999999997</v>
      </c>
      <c r="J152" s="1">
        <v>67.121260000000007</v>
      </c>
      <c r="K152" s="1">
        <f t="shared" si="228"/>
        <v>-0.95644589999999996</v>
      </c>
      <c r="L152" s="1">
        <v>0</v>
      </c>
      <c r="T152" s="1"/>
      <c r="U152" s="1">
        <f t="shared" si="229"/>
        <v>0</v>
      </c>
      <c r="V152" s="1">
        <f t="shared" si="230"/>
        <v>0.95873169999999996</v>
      </c>
      <c r="AD152" s="1"/>
      <c r="AE152" s="1">
        <f t="shared" si="231"/>
        <v>0</v>
      </c>
      <c r="AF152" s="1">
        <f t="shared" si="232"/>
        <v>0.95873169999999996</v>
      </c>
      <c r="AO152" s="1">
        <f t="shared" si="233"/>
        <v>0</v>
      </c>
      <c r="AP152" s="1">
        <f t="shared" si="234"/>
        <v>0.95873169999999996</v>
      </c>
      <c r="AX152" s="1"/>
      <c r="AY152" s="1">
        <f t="shared" si="235"/>
        <v>0</v>
      </c>
      <c r="AZ152" s="1">
        <f t="shared" si="236"/>
        <v>0.95873169999999996</v>
      </c>
    </row>
    <row r="153" spans="1:52" x14ac:dyDescent="0.3">
      <c r="A153" s="2" t="s">
        <v>25</v>
      </c>
      <c r="E153" s="2">
        <v>61.885559999999998</v>
      </c>
      <c r="F153" s="2">
        <v>0.95525369999999998</v>
      </c>
      <c r="G153" s="2">
        <v>68.370890000000003</v>
      </c>
      <c r="H153" s="2">
        <v>65.637690000000006</v>
      </c>
      <c r="I153" s="2">
        <v>0.90083369999999996</v>
      </c>
      <c r="J153" s="1">
        <v>68.116150000000005</v>
      </c>
      <c r="K153" s="1">
        <f t="shared" si="228"/>
        <v>-0.95525369999999998</v>
      </c>
      <c r="L153" s="1">
        <v>0</v>
      </c>
      <c r="T153" s="1"/>
      <c r="U153" s="1">
        <f t="shared" si="229"/>
        <v>0</v>
      </c>
      <c r="V153" s="1">
        <f t="shared" si="230"/>
        <v>0.95873169999999996</v>
      </c>
      <c r="AD153" s="1"/>
      <c r="AE153" s="1">
        <f t="shared" si="231"/>
        <v>0</v>
      </c>
      <c r="AF153" s="1">
        <f t="shared" si="232"/>
        <v>0.95873169999999996</v>
      </c>
      <c r="AO153" s="1">
        <f t="shared" si="233"/>
        <v>0</v>
      </c>
      <c r="AP153" s="1">
        <f t="shared" si="234"/>
        <v>0.95873169999999996</v>
      </c>
      <c r="AX153" s="1"/>
      <c r="AY153" s="1">
        <f t="shared" si="235"/>
        <v>0</v>
      </c>
      <c r="AZ153" s="1">
        <f t="shared" si="236"/>
        <v>0.95873169999999996</v>
      </c>
    </row>
    <row r="154" spans="1:52" x14ac:dyDescent="0.3">
      <c r="A154" s="2" t="s">
        <v>17</v>
      </c>
      <c r="E154" s="2">
        <v>64.886200000000002</v>
      </c>
      <c r="F154" s="2">
        <v>0.90990420000000005</v>
      </c>
      <c r="G154" s="2">
        <v>69.159670000000006</v>
      </c>
      <c r="H154" s="2">
        <v>69.02704</v>
      </c>
      <c r="I154" s="2">
        <v>0.855572</v>
      </c>
      <c r="J154" s="1">
        <v>68.892269999999996</v>
      </c>
      <c r="K154" s="1">
        <f t="shared" si="228"/>
        <v>-0.90990420000000005</v>
      </c>
      <c r="L154" s="1">
        <v>0</v>
      </c>
      <c r="T154" s="1"/>
      <c r="U154" s="1">
        <f t="shared" si="229"/>
        <v>0</v>
      </c>
      <c r="V154" s="1">
        <f t="shared" si="230"/>
        <v>0.95873169999999996</v>
      </c>
      <c r="AD154" s="1"/>
      <c r="AE154" s="1">
        <f t="shared" si="231"/>
        <v>0</v>
      </c>
      <c r="AF154" s="1">
        <f t="shared" si="232"/>
        <v>0.95873169999999996</v>
      </c>
      <c r="AO154" s="1">
        <f t="shared" si="233"/>
        <v>0</v>
      </c>
      <c r="AP154" s="1">
        <f t="shared" si="234"/>
        <v>0.95873169999999996</v>
      </c>
      <c r="AX154" s="1"/>
      <c r="AY154" s="1">
        <f t="shared" si="235"/>
        <v>0</v>
      </c>
      <c r="AZ154" s="1">
        <f t="shared" si="236"/>
        <v>0.95873169999999996</v>
      </c>
    </row>
    <row r="155" spans="1:52" x14ac:dyDescent="0.3">
      <c r="A155" s="2" t="s">
        <v>18</v>
      </c>
      <c r="E155" s="2">
        <v>64.886200000000002</v>
      </c>
      <c r="F155" s="2">
        <v>0.9082422</v>
      </c>
      <c r="G155" s="2">
        <v>70.151719999999997</v>
      </c>
      <c r="H155" s="2">
        <v>69.02704</v>
      </c>
      <c r="I155" s="2">
        <v>0.85410240000000004</v>
      </c>
      <c r="J155" s="1">
        <v>69.884799999999998</v>
      </c>
      <c r="K155" s="1">
        <f t="shared" si="228"/>
        <v>-0.9082422</v>
      </c>
      <c r="L155" s="1">
        <v>0</v>
      </c>
      <c r="T155" s="1"/>
      <c r="U155" s="1">
        <f t="shared" si="229"/>
        <v>0</v>
      </c>
      <c r="V155" s="1">
        <f t="shared" si="230"/>
        <v>0.95873169999999996</v>
      </c>
      <c r="AD155" s="1"/>
      <c r="AE155" s="1">
        <f t="shared" si="231"/>
        <v>0</v>
      </c>
      <c r="AF155" s="1">
        <f t="shared" si="232"/>
        <v>0.95873169999999996</v>
      </c>
      <c r="AO155" s="1">
        <f t="shared" si="233"/>
        <v>0</v>
      </c>
      <c r="AP155" s="1">
        <f t="shared" si="234"/>
        <v>0.95873169999999996</v>
      </c>
      <c r="AX155" s="1"/>
      <c r="AY155" s="1">
        <f t="shared" si="235"/>
        <v>0</v>
      </c>
      <c r="AZ155" s="1">
        <f t="shared" si="236"/>
        <v>0.95873169999999996</v>
      </c>
    </row>
    <row r="156" spans="1:52" x14ac:dyDescent="0.3">
      <c r="A156" s="2" t="s">
        <v>19</v>
      </c>
      <c r="E156" s="2">
        <v>64.886200000000002</v>
      </c>
      <c r="F156" s="2">
        <v>0.90622440000000004</v>
      </c>
      <c r="G156" s="2">
        <v>71.142060000000001</v>
      </c>
      <c r="H156" s="2">
        <v>69.02704</v>
      </c>
      <c r="I156" s="2">
        <v>0.85231780000000001</v>
      </c>
      <c r="J156" s="1">
        <v>70.875720000000001</v>
      </c>
      <c r="K156" s="1">
        <f t="shared" si="228"/>
        <v>-0.90622440000000004</v>
      </c>
      <c r="L156" s="1">
        <v>0</v>
      </c>
      <c r="T156" s="1"/>
      <c r="U156" s="1">
        <f t="shared" si="229"/>
        <v>0</v>
      </c>
      <c r="V156" s="1">
        <f t="shared" si="230"/>
        <v>0.95873169999999996</v>
      </c>
      <c r="AD156" s="1"/>
      <c r="AE156" s="1">
        <f t="shared" si="231"/>
        <v>0</v>
      </c>
      <c r="AF156" s="1">
        <f t="shared" si="232"/>
        <v>0.95873169999999996</v>
      </c>
      <c r="AO156" s="1">
        <f t="shared" si="233"/>
        <v>0</v>
      </c>
      <c r="AP156" s="1">
        <f t="shared" si="234"/>
        <v>0.95873169999999996</v>
      </c>
      <c r="AX156" s="1"/>
      <c r="AY156" s="1">
        <f t="shared" si="235"/>
        <v>0</v>
      </c>
      <c r="AZ156" s="1">
        <f t="shared" si="236"/>
        <v>0.95873169999999996</v>
      </c>
    </row>
    <row r="157" spans="1:52" x14ac:dyDescent="0.3">
      <c r="A157" s="2" t="s">
        <v>20</v>
      </c>
      <c r="E157" s="2">
        <v>103.3588</v>
      </c>
      <c r="F157" s="2">
        <v>0.56989259999999997</v>
      </c>
      <c r="G157" s="2">
        <v>70.127629999999996</v>
      </c>
      <c r="H157" s="2">
        <v>114.4448</v>
      </c>
      <c r="I157" s="2">
        <v>0.51504830000000001</v>
      </c>
      <c r="J157" s="1">
        <v>69.688180000000003</v>
      </c>
      <c r="K157" s="1">
        <f t="shared" si="228"/>
        <v>-0.56989259999999997</v>
      </c>
      <c r="L157" s="1">
        <v>0</v>
      </c>
      <c r="T157" s="1"/>
      <c r="U157" s="1">
        <f t="shared" si="229"/>
        <v>0</v>
      </c>
      <c r="V157" s="1">
        <f t="shared" si="230"/>
        <v>0.95873169999999996</v>
      </c>
      <c r="AD157" s="1"/>
      <c r="AE157" s="1">
        <f t="shared" si="231"/>
        <v>0</v>
      </c>
      <c r="AF157" s="1">
        <f t="shared" si="232"/>
        <v>0.95873169999999996</v>
      </c>
      <c r="AO157" s="1">
        <f t="shared" si="233"/>
        <v>0</v>
      </c>
      <c r="AP157" s="1">
        <f t="shared" si="234"/>
        <v>0.95873169999999996</v>
      </c>
      <c r="AX157" s="1"/>
      <c r="AY157" s="1">
        <f t="shared" si="235"/>
        <v>0</v>
      </c>
      <c r="AZ157" s="1">
        <f t="shared" si="236"/>
        <v>0.95873169999999996</v>
      </c>
    </row>
    <row r="158" spans="1:52" x14ac:dyDescent="0.3">
      <c r="A158" s="2" t="s">
        <v>21</v>
      </c>
      <c r="E158" s="2">
        <v>103.3588</v>
      </c>
      <c r="F158" s="2">
        <v>0.56899619999999995</v>
      </c>
      <c r="G158" s="2">
        <v>71.120800000000003</v>
      </c>
      <c r="H158" s="2">
        <v>114.4448</v>
      </c>
      <c r="I158" s="2">
        <v>0.514316</v>
      </c>
      <c r="J158" s="1">
        <v>70.682010000000005</v>
      </c>
      <c r="K158" s="1">
        <f t="shared" si="228"/>
        <v>-0.56899619999999995</v>
      </c>
      <c r="L158" s="1">
        <v>0</v>
      </c>
      <c r="T158" s="1"/>
      <c r="U158" s="1">
        <f t="shared" si="229"/>
        <v>0</v>
      </c>
      <c r="V158" s="1">
        <f t="shared" si="230"/>
        <v>0.95873169999999996</v>
      </c>
      <c r="AD158" s="1"/>
      <c r="AE158" s="1">
        <f t="shared" si="231"/>
        <v>0</v>
      </c>
      <c r="AF158" s="1">
        <f t="shared" si="232"/>
        <v>0.95873169999999996</v>
      </c>
      <c r="AO158" s="1">
        <f t="shared" si="233"/>
        <v>0</v>
      </c>
      <c r="AP158" s="1">
        <f t="shared" si="234"/>
        <v>0.95873169999999996</v>
      </c>
      <c r="AX158" s="1"/>
      <c r="AY158" s="1">
        <f t="shared" si="235"/>
        <v>0</v>
      </c>
      <c r="AZ158" s="1">
        <f t="shared" si="236"/>
        <v>0.95873169999999996</v>
      </c>
    </row>
    <row r="159" spans="1:52" x14ac:dyDescent="0.3">
      <c r="A159" s="2" t="s">
        <v>22</v>
      </c>
      <c r="E159" s="2">
        <v>103.3588</v>
      </c>
      <c r="F159" s="2">
        <v>0.56801040000000003</v>
      </c>
      <c r="G159" s="2">
        <v>72.11327</v>
      </c>
      <c r="H159" s="2">
        <v>114.4448</v>
      </c>
      <c r="I159" s="2">
        <v>0.51351040000000003</v>
      </c>
      <c r="J159" s="1">
        <v>71.675200000000004</v>
      </c>
      <c r="K159" s="1">
        <f t="shared" si="228"/>
        <v>-0.56801040000000003</v>
      </c>
      <c r="L159" s="1">
        <v>0</v>
      </c>
      <c r="T159" s="1"/>
      <c r="U159" s="1">
        <f t="shared" si="229"/>
        <v>0</v>
      </c>
      <c r="V159" s="1">
        <f t="shared" si="230"/>
        <v>0.95873169999999996</v>
      </c>
      <c r="AD159" s="1"/>
      <c r="AE159" s="1">
        <f t="shared" si="231"/>
        <v>0</v>
      </c>
      <c r="AF159" s="1">
        <f t="shared" si="232"/>
        <v>0.95873169999999996</v>
      </c>
      <c r="AO159" s="1">
        <f t="shared" si="233"/>
        <v>0</v>
      </c>
      <c r="AP159" s="1">
        <f t="shared" si="234"/>
        <v>0.95873169999999996</v>
      </c>
      <c r="AX159" s="1"/>
      <c r="AY159" s="1">
        <f t="shared" si="235"/>
        <v>0</v>
      </c>
      <c r="AZ159" s="1">
        <f t="shared" si="236"/>
        <v>0.95873169999999996</v>
      </c>
    </row>
    <row r="160" spans="1:52" x14ac:dyDescent="0.3">
      <c r="A160" s="2" t="s">
        <v>23</v>
      </c>
      <c r="E160" s="2">
        <v>86.461920000000006</v>
      </c>
      <c r="F160" s="2">
        <v>0.67597039999999997</v>
      </c>
      <c r="G160" s="2">
        <v>73.868979999999993</v>
      </c>
      <c r="H160" s="2">
        <v>94.035790000000006</v>
      </c>
      <c r="I160" s="2">
        <v>0.6222742</v>
      </c>
      <c r="J160" s="1">
        <v>73.509519999999995</v>
      </c>
      <c r="K160" s="1">
        <f t="shared" si="228"/>
        <v>-0.67597039999999997</v>
      </c>
      <c r="L160" s="1">
        <v>0</v>
      </c>
      <c r="T160" s="1"/>
      <c r="U160" s="1">
        <f t="shared" si="229"/>
        <v>0</v>
      </c>
      <c r="V160" s="1">
        <f t="shared" si="230"/>
        <v>0.95873169999999996</v>
      </c>
      <c r="AD160" s="1"/>
      <c r="AE160" s="1">
        <f t="shared" si="231"/>
        <v>0</v>
      </c>
      <c r="AF160" s="1">
        <f t="shared" si="232"/>
        <v>0.95873169999999996</v>
      </c>
      <c r="AO160" s="1">
        <f t="shared" si="233"/>
        <v>0</v>
      </c>
      <c r="AP160" s="1">
        <f t="shared" si="234"/>
        <v>0.95873169999999996</v>
      </c>
      <c r="AX160" s="1"/>
      <c r="AY160" s="1">
        <f t="shared" si="235"/>
        <v>0</v>
      </c>
      <c r="AZ160" s="1">
        <f t="shared" si="236"/>
        <v>0.95873169999999996</v>
      </c>
    </row>
    <row r="161" spans="1:52" x14ac:dyDescent="0.3">
      <c r="A161" s="2" t="s">
        <v>13</v>
      </c>
      <c r="E161" s="2">
        <v>86.461920000000006</v>
      </c>
      <c r="F161" s="2">
        <v>0.67401920000000004</v>
      </c>
      <c r="G161" s="2">
        <v>74.856430000000003</v>
      </c>
      <c r="H161" s="2">
        <v>94.035790000000006</v>
      </c>
      <c r="I161" s="2">
        <v>0.62062030000000001</v>
      </c>
      <c r="J161" s="1">
        <v>74.497969999999995</v>
      </c>
      <c r="K161" s="1">
        <f t="shared" si="228"/>
        <v>-0.67401920000000004</v>
      </c>
      <c r="L161" s="1">
        <v>0</v>
      </c>
      <c r="T161" s="1"/>
      <c r="U161" s="1">
        <f t="shared" si="229"/>
        <v>0</v>
      </c>
      <c r="V161" s="1">
        <f t="shared" si="230"/>
        <v>0.95873169999999996</v>
      </c>
      <c r="AD161" s="1"/>
      <c r="AE161" s="1">
        <f t="shared" si="231"/>
        <v>0</v>
      </c>
      <c r="AF161" s="1">
        <f t="shared" si="232"/>
        <v>0.95873169999999996</v>
      </c>
      <c r="AO161" s="1">
        <f t="shared" si="233"/>
        <v>0</v>
      </c>
      <c r="AP161" s="1">
        <f t="shared" si="234"/>
        <v>0.95873169999999996</v>
      </c>
      <c r="AX161" s="1"/>
      <c r="AY161" s="1">
        <f t="shared" si="235"/>
        <v>0</v>
      </c>
      <c r="AZ161" s="1">
        <f t="shared" si="236"/>
        <v>0.95873169999999996</v>
      </c>
    </row>
    <row r="162" spans="1:52" x14ac:dyDescent="0.3">
      <c r="A162" s="2" t="s">
        <v>14</v>
      </c>
      <c r="E162" s="2">
        <v>86.461920000000006</v>
      </c>
      <c r="F162" s="2">
        <v>0.67134210000000005</v>
      </c>
      <c r="G162" s="2">
        <v>75.83914</v>
      </c>
      <c r="H162" s="2">
        <v>94.035790000000006</v>
      </c>
      <c r="I162" s="2">
        <v>0.61834979999999995</v>
      </c>
      <c r="J162" s="1">
        <v>75.482039999999998</v>
      </c>
      <c r="K162" s="1">
        <f t="shared" si="228"/>
        <v>-0.67134210000000005</v>
      </c>
      <c r="L162" s="1">
        <v>0</v>
      </c>
      <c r="T162" s="1"/>
      <c r="U162" s="1">
        <f t="shared" si="229"/>
        <v>0</v>
      </c>
      <c r="V162" s="1">
        <f t="shared" si="230"/>
        <v>0.95873169999999996</v>
      </c>
      <c r="AD162" s="1"/>
      <c r="AE162" s="1">
        <f t="shared" si="231"/>
        <v>0</v>
      </c>
      <c r="AF162" s="1">
        <f t="shared" si="232"/>
        <v>0.95873169999999996</v>
      </c>
      <c r="AO162" s="1">
        <f t="shared" si="233"/>
        <v>0</v>
      </c>
      <c r="AP162" s="1">
        <f t="shared" si="234"/>
        <v>0.95873169999999996</v>
      </c>
      <c r="AX162" s="1"/>
      <c r="AY162" s="1">
        <f t="shared" si="235"/>
        <v>0</v>
      </c>
      <c r="AZ162" s="1">
        <f t="shared" si="236"/>
        <v>0.95873169999999996</v>
      </c>
    </row>
    <row r="163" spans="1:52" x14ac:dyDescent="0.3">
      <c r="A163" s="2" t="s">
        <v>26</v>
      </c>
      <c r="E163" s="2">
        <v>88.237780000000001</v>
      </c>
      <c r="F163" s="2">
        <v>0.65388749999999995</v>
      </c>
      <c r="G163" s="2">
        <v>76.724729999999994</v>
      </c>
      <c r="H163" s="2">
        <v>96.144990000000007</v>
      </c>
      <c r="I163" s="2">
        <v>0.60147209999999995</v>
      </c>
      <c r="J163" s="1">
        <v>76.361859999999993</v>
      </c>
      <c r="K163" s="1">
        <f t="shared" si="228"/>
        <v>-0.65388749999999995</v>
      </c>
      <c r="L163" s="1">
        <v>0</v>
      </c>
      <c r="T163" s="1"/>
      <c r="U163" s="1">
        <f t="shared" si="229"/>
        <v>0</v>
      </c>
      <c r="V163" s="1">
        <f t="shared" si="230"/>
        <v>0.95873169999999996</v>
      </c>
      <c r="AD163" s="1"/>
      <c r="AE163" s="1">
        <f t="shared" si="231"/>
        <v>0</v>
      </c>
      <c r="AF163" s="1">
        <f t="shared" si="232"/>
        <v>0.95873169999999996</v>
      </c>
      <c r="AO163" s="1">
        <f t="shared" si="233"/>
        <v>0</v>
      </c>
      <c r="AP163" s="1">
        <f t="shared" si="234"/>
        <v>0.95873169999999996</v>
      </c>
      <c r="AX163" s="1"/>
      <c r="AY163" s="1">
        <f t="shared" si="235"/>
        <v>0</v>
      </c>
      <c r="AZ163" s="1">
        <f t="shared" si="236"/>
        <v>0.95873169999999996</v>
      </c>
    </row>
    <row r="164" spans="1:52" x14ac:dyDescent="0.3">
      <c r="A164" s="2" t="s">
        <v>24</v>
      </c>
      <c r="E164" s="2">
        <v>88.237780000000001</v>
      </c>
      <c r="F164" s="2">
        <v>0.64805170000000001</v>
      </c>
      <c r="G164" s="2">
        <v>77.685810000000004</v>
      </c>
      <c r="H164" s="2">
        <v>96.144990000000007</v>
      </c>
      <c r="I164" s="2">
        <v>0.59653089999999998</v>
      </c>
      <c r="J164" s="1">
        <v>77.326030000000003</v>
      </c>
      <c r="K164" s="1">
        <f t="shared" si="228"/>
        <v>-0.64805170000000001</v>
      </c>
      <c r="L164" s="1">
        <v>0</v>
      </c>
      <c r="T164" s="1"/>
      <c r="U164" s="1">
        <f t="shared" si="229"/>
        <v>0</v>
      </c>
      <c r="V164" s="1">
        <f t="shared" si="230"/>
        <v>0.95873169999999996</v>
      </c>
      <c r="AD164" s="1"/>
      <c r="AE164" s="1">
        <f t="shared" si="231"/>
        <v>0</v>
      </c>
      <c r="AF164" s="1">
        <f t="shared" si="232"/>
        <v>0.95873169999999996</v>
      </c>
      <c r="AO164" s="1">
        <f t="shared" si="233"/>
        <v>0</v>
      </c>
      <c r="AP164" s="1">
        <f t="shared" si="234"/>
        <v>0.95873169999999996</v>
      </c>
      <c r="AX164" s="1"/>
      <c r="AY164" s="1">
        <f t="shared" si="235"/>
        <v>0</v>
      </c>
      <c r="AZ164" s="1">
        <f t="shared" si="236"/>
        <v>0.95873169999999996</v>
      </c>
    </row>
    <row r="165" spans="1:52" x14ac:dyDescent="0.3">
      <c r="A165" s="2" t="s">
        <v>27</v>
      </c>
      <c r="E165" s="2">
        <v>88.237780000000001</v>
      </c>
      <c r="F165" s="2">
        <v>0.63926260000000001</v>
      </c>
      <c r="G165" s="2">
        <v>78.626499999999993</v>
      </c>
      <c r="H165" s="2">
        <v>96.144990000000007</v>
      </c>
      <c r="I165" s="2">
        <v>0.58907560000000003</v>
      </c>
      <c r="J165" s="1">
        <v>78.271420000000006</v>
      </c>
      <c r="K165" s="1">
        <f t="shared" si="228"/>
        <v>-0.63926260000000001</v>
      </c>
      <c r="L165" s="1">
        <v>0</v>
      </c>
      <c r="T165" s="1"/>
      <c r="U165" s="1">
        <f t="shared" si="229"/>
        <v>0</v>
      </c>
      <c r="V165" s="1">
        <f t="shared" si="230"/>
        <v>0.95873169999999996</v>
      </c>
      <c r="AD165" s="1"/>
      <c r="AE165" s="1">
        <f t="shared" si="231"/>
        <v>0</v>
      </c>
      <c r="AF165" s="1">
        <f t="shared" si="232"/>
        <v>0.95873169999999996</v>
      </c>
      <c r="AO165" s="1">
        <f t="shared" si="233"/>
        <v>0</v>
      </c>
      <c r="AP165" s="1">
        <f t="shared" si="234"/>
        <v>0.95873169999999996</v>
      </c>
      <c r="AX165" s="1"/>
      <c r="AY165" s="1">
        <f t="shared" si="235"/>
        <v>0</v>
      </c>
      <c r="AZ165" s="1">
        <f t="shared" si="236"/>
        <v>0.95873169999999996</v>
      </c>
    </row>
    <row r="166" spans="1:52" x14ac:dyDescent="0.3">
      <c r="A166" s="2" t="s">
        <v>28</v>
      </c>
      <c r="E166" s="2">
        <v>79.525700000000001</v>
      </c>
      <c r="F166" s="2">
        <v>0.68881150000000002</v>
      </c>
      <c r="G166" s="2">
        <v>79.950710000000001</v>
      </c>
      <c r="H166" s="2">
        <v>85.870249999999999</v>
      </c>
      <c r="I166" s="2">
        <v>0.64155589999999996</v>
      </c>
      <c r="J166" s="1">
        <v>79.642049999999998</v>
      </c>
      <c r="K166" s="1">
        <f t="shared" si="228"/>
        <v>-0.68881150000000002</v>
      </c>
      <c r="L166" s="1">
        <v>0</v>
      </c>
      <c r="T166" s="1"/>
      <c r="U166" s="1">
        <f t="shared" si="229"/>
        <v>0</v>
      </c>
      <c r="V166" s="1">
        <f t="shared" si="230"/>
        <v>0.95873169999999996</v>
      </c>
      <c r="AD166" s="1"/>
      <c r="AE166" s="1">
        <f t="shared" si="231"/>
        <v>0</v>
      </c>
      <c r="AF166" s="1">
        <f t="shared" si="232"/>
        <v>0.95873169999999996</v>
      </c>
      <c r="AO166" s="1">
        <f t="shared" si="233"/>
        <v>0</v>
      </c>
      <c r="AP166" s="1">
        <f t="shared" si="234"/>
        <v>0.95873169999999996</v>
      </c>
      <c r="AX166" s="1"/>
      <c r="AY166" s="1">
        <f t="shared" si="235"/>
        <v>0</v>
      </c>
      <c r="AZ166" s="1">
        <f t="shared" si="236"/>
        <v>0.95873169999999996</v>
      </c>
    </row>
    <row r="167" spans="1:52" x14ac:dyDescent="0.3">
      <c r="A167" s="2" t="s">
        <v>29</v>
      </c>
      <c r="E167" s="2">
        <v>79.525700000000001</v>
      </c>
      <c r="F167" s="2">
        <v>0.66310999999999998</v>
      </c>
      <c r="G167" s="2">
        <v>80.785560000000004</v>
      </c>
      <c r="H167" s="2">
        <v>85.870249999999999</v>
      </c>
      <c r="I167" s="2">
        <v>0.61920269999999999</v>
      </c>
      <c r="J167" s="1">
        <v>80.488039999999998</v>
      </c>
      <c r="K167" s="1">
        <f t="shared" si="228"/>
        <v>-0.66310999999999998</v>
      </c>
      <c r="L167" s="1">
        <v>0</v>
      </c>
      <c r="T167" s="1"/>
      <c r="U167" s="1">
        <f t="shared" si="229"/>
        <v>0</v>
      </c>
      <c r="V167" s="1">
        <f t="shared" si="230"/>
        <v>0.95873169999999996</v>
      </c>
      <c r="AD167" s="1"/>
      <c r="AE167" s="1">
        <f t="shared" si="231"/>
        <v>0</v>
      </c>
      <c r="AF167" s="1">
        <f t="shared" si="232"/>
        <v>0.95873169999999996</v>
      </c>
      <c r="AO167" s="1">
        <f t="shared" si="233"/>
        <v>0</v>
      </c>
      <c r="AP167" s="1">
        <f t="shared" si="234"/>
        <v>0.95873169999999996</v>
      </c>
      <c r="AX167" s="1"/>
      <c r="AY167" s="1">
        <f t="shared" si="235"/>
        <v>0</v>
      </c>
      <c r="AZ167" s="1">
        <f t="shared" si="236"/>
        <v>0.95873169999999996</v>
      </c>
    </row>
    <row r="168" spans="1:52" x14ac:dyDescent="0.3">
      <c r="A168" s="2" t="s">
        <v>30</v>
      </c>
      <c r="E168" s="2">
        <v>79.525700000000001</v>
      </c>
      <c r="F168" s="2">
        <v>0.62876500000000002</v>
      </c>
      <c r="G168" s="2">
        <v>81.554580000000001</v>
      </c>
      <c r="H168" s="2">
        <v>85.870249999999999</v>
      </c>
      <c r="I168" s="2">
        <v>0.58915229999999996</v>
      </c>
      <c r="J168" s="1">
        <v>81.271979999999999</v>
      </c>
      <c r="K168" s="1">
        <f t="shared" si="228"/>
        <v>-0.62876500000000002</v>
      </c>
      <c r="L168" s="1">
        <v>0</v>
      </c>
      <c r="T168" s="1"/>
      <c r="U168" s="1">
        <f t="shared" si="229"/>
        <v>0</v>
      </c>
      <c r="V168" s="1">
        <f t="shared" si="230"/>
        <v>0.95873169999999996</v>
      </c>
      <c r="AD168" s="1"/>
      <c r="AE168" s="1">
        <f t="shared" si="231"/>
        <v>0</v>
      </c>
      <c r="AF168" s="1">
        <f t="shared" si="232"/>
        <v>0.95873169999999996</v>
      </c>
      <c r="AO168" s="1">
        <f t="shared" si="233"/>
        <v>0</v>
      </c>
      <c r="AP168" s="1">
        <f t="shared" si="234"/>
        <v>0.95873169999999996</v>
      </c>
      <c r="AX168" s="1"/>
      <c r="AY168" s="1">
        <f t="shared" si="235"/>
        <v>0</v>
      </c>
      <c r="AZ168" s="1">
        <f t="shared" si="236"/>
        <v>0.95873169999999996</v>
      </c>
    </row>
    <row r="169" spans="1:52" x14ac:dyDescent="0.3">
      <c r="A169" s="2" t="s">
        <v>31</v>
      </c>
      <c r="E169" s="2">
        <v>79.52431</v>
      </c>
      <c r="F169" s="2">
        <v>0.58052250000000005</v>
      </c>
      <c r="G169" s="2">
        <v>82.207899999999995</v>
      </c>
      <c r="H169" s="2">
        <v>85.868639999999999</v>
      </c>
      <c r="I169" s="2">
        <v>0.54659239999999998</v>
      </c>
      <c r="J169" s="1">
        <v>81.946340000000006</v>
      </c>
      <c r="K169" s="1">
        <f t="shared" si="228"/>
        <v>-0.58052250000000005</v>
      </c>
      <c r="L169" s="1">
        <v>0</v>
      </c>
      <c r="T169" s="1"/>
      <c r="U169" s="1">
        <f t="shared" si="229"/>
        <v>0</v>
      </c>
      <c r="V169" s="1">
        <f t="shared" si="230"/>
        <v>0.95873169999999996</v>
      </c>
      <c r="AD169" s="1"/>
      <c r="AE169" s="1">
        <f t="shared" si="231"/>
        <v>0</v>
      </c>
      <c r="AF169" s="1">
        <f t="shared" si="232"/>
        <v>0.95873169999999996</v>
      </c>
      <c r="AO169" s="1">
        <f t="shared" si="233"/>
        <v>0</v>
      </c>
      <c r="AP169" s="1">
        <f t="shared" si="234"/>
        <v>0.95873169999999996</v>
      </c>
      <c r="AX169" s="1"/>
      <c r="AY169" s="1">
        <f t="shared" si="235"/>
        <v>0</v>
      </c>
      <c r="AZ169" s="1">
        <f t="shared" si="236"/>
        <v>0.95873169999999996</v>
      </c>
    </row>
    <row r="170" spans="1:52" x14ac:dyDescent="0.3">
      <c r="A170" s="2" t="s">
        <v>32</v>
      </c>
      <c r="E170" s="2">
        <v>79.52431</v>
      </c>
      <c r="F170" s="2">
        <v>0.51666440000000002</v>
      </c>
      <c r="G170" s="2">
        <v>82.701790000000003</v>
      </c>
      <c r="H170" s="2">
        <v>85.868639999999999</v>
      </c>
      <c r="I170" s="2">
        <v>0.48961450000000001</v>
      </c>
      <c r="J170" s="1">
        <v>82.468249999999998</v>
      </c>
      <c r="K170" s="1">
        <f t="shared" si="228"/>
        <v>-0.51666440000000002</v>
      </c>
      <c r="L170" s="1">
        <v>0</v>
      </c>
      <c r="T170" s="1"/>
      <c r="U170" s="1">
        <f t="shared" si="229"/>
        <v>0</v>
      </c>
      <c r="V170" s="1">
        <f t="shared" si="230"/>
        <v>0.95873169999999996</v>
      </c>
      <c r="AD170" s="1"/>
      <c r="AE170" s="1">
        <f t="shared" si="231"/>
        <v>0</v>
      </c>
      <c r="AF170" s="1">
        <f t="shared" si="232"/>
        <v>0.95873169999999996</v>
      </c>
      <c r="AO170" s="1">
        <f t="shared" si="233"/>
        <v>0</v>
      </c>
      <c r="AP170" s="1">
        <f t="shared" si="234"/>
        <v>0.95873169999999996</v>
      </c>
      <c r="AX170" s="1"/>
      <c r="AY170" s="1">
        <f t="shared" si="235"/>
        <v>0</v>
      </c>
      <c r="AZ170" s="1">
        <f t="shared" si="236"/>
        <v>0.95873169999999996</v>
      </c>
    </row>
    <row r="171" spans="1:52" x14ac:dyDescent="0.3">
      <c r="A171" s="2" t="s">
        <v>33</v>
      </c>
      <c r="E171" s="2">
        <v>79.52431</v>
      </c>
      <c r="F171" s="2">
        <v>0.44679360000000001</v>
      </c>
      <c r="G171" s="2">
        <v>83.070769999999996</v>
      </c>
      <c r="H171" s="2">
        <v>85.868639999999999</v>
      </c>
      <c r="I171" s="2">
        <v>0.42642089999999999</v>
      </c>
      <c r="J171" s="1">
        <v>82.868089999999995</v>
      </c>
      <c r="K171" s="1">
        <f t="shared" si="228"/>
        <v>-0.44679360000000001</v>
      </c>
      <c r="L171" s="1">
        <v>0</v>
      </c>
      <c r="T171" s="1"/>
      <c r="U171" s="1">
        <f t="shared" si="229"/>
        <v>0</v>
      </c>
      <c r="V171" s="1">
        <f t="shared" si="230"/>
        <v>0.95873169999999996</v>
      </c>
      <c r="AD171" s="1"/>
      <c r="AE171" s="1">
        <f t="shared" si="231"/>
        <v>0</v>
      </c>
      <c r="AF171" s="1">
        <f t="shared" si="232"/>
        <v>0.95873169999999996</v>
      </c>
      <c r="AO171" s="1">
        <f t="shared" si="233"/>
        <v>0</v>
      </c>
      <c r="AP171" s="1">
        <f t="shared" si="234"/>
        <v>0.95873169999999996</v>
      </c>
      <c r="AX171" s="1"/>
      <c r="AY171" s="1">
        <f t="shared" si="235"/>
        <v>0</v>
      </c>
      <c r="AZ171" s="1">
        <f t="shared" si="236"/>
        <v>0.95873169999999996</v>
      </c>
    </row>
    <row r="172" spans="1:52" x14ac:dyDescent="0.3">
      <c r="A172" s="2" t="s">
        <v>34</v>
      </c>
      <c r="E172" s="2">
        <v>79.52431</v>
      </c>
      <c r="F172" s="2">
        <v>0.37264940000000002</v>
      </c>
      <c r="G172" s="2">
        <v>83.282709999999994</v>
      </c>
      <c r="H172" s="2">
        <v>85.868639999999999</v>
      </c>
      <c r="I172" s="2">
        <v>0.3583693</v>
      </c>
      <c r="J172" s="1">
        <v>83.113010000000003</v>
      </c>
      <c r="K172" s="1">
        <f t="shared" si="228"/>
        <v>-0.37264940000000002</v>
      </c>
      <c r="L172" s="1">
        <v>0</v>
      </c>
      <c r="T172" s="1"/>
      <c r="U172" s="1">
        <f t="shared" si="229"/>
        <v>0</v>
      </c>
      <c r="V172" s="1">
        <f t="shared" si="230"/>
        <v>0.95873169999999996</v>
      </c>
      <c r="AD172" s="1"/>
      <c r="AE172" s="1">
        <f t="shared" si="231"/>
        <v>0</v>
      </c>
      <c r="AF172" s="1">
        <f t="shared" si="232"/>
        <v>0.95873169999999996</v>
      </c>
      <c r="AO172" s="1">
        <f t="shared" si="233"/>
        <v>0</v>
      </c>
      <c r="AP172" s="1">
        <f t="shared" si="234"/>
        <v>0.95873169999999996</v>
      </c>
      <c r="AX172" s="1"/>
      <c r="AY172" s="1">
        <f t="shared" si="235"/>
        <v>0</v>
      </c>
      <c r="AZ172" s="1">
        <f t="shared" si="236"/>
        <v>0.95873169999999996</v>
      </c>
    </row>
    <row r="173" spans="1:52" x14ac:dyDescent="0.3">
      <c r="A173" s="2" t="s">
        <v>35</v>
      </c>
      <c r="E173" s="2">
        <v>79.52431</v>
      </c>
      <c r="F173" s="2">
        <v>0.29403839999999998</v>
      </c>
      <c r="G173" s="2">
        <v>83.253749999999997</v>
      </c>
      <c r="H173" s="2">
        <v>85.868639999999999</v>
      </c>
      <c r="I173" s="2">
        <v>0.28507519999999997</v>
      </c>
      <c r="J173" s="1">
        <v>83.119290000000007</v>
      </c>
      <c r="K173" s="1">
        <f t="shared" si="228"/>
        <v>-0.29403839999999998</v>
      </c>
      <c r="L173" s="1">
        <v>0</v>
      </c>
      <c r="T173" s="1"/>
      <c r="U173" s="1">
        <f t="shared" si="229"/>
        <v>0</v>
      </c>
      <c r="V173" s="1">
        <f t="shared" si="230"/>
        <v>0.95873169999999996</v>
      </c>
      <c r="AD173" s="1"/>
      <c r="AE173" s="1">
        <f t="shared" si="231"/>
        <v>0</v>
      </c>
      <c r="AF173" s="1">
        <f t="shared" si="232"/>
        <v>0.95873169999999996</v>
      </c>
      <c r="AO173" s="1">
        <f t="shared" si="233"/>
        <v>0</v>
      </c>
      <c r="AP173" s="1">
        <f t="shared" si="234"/>
        <v>0.95873169999999996</v>
      </c>
      <c r="AX173" s="1"/>
      <c r="AY173" s="1">
        <f t="shared" si="235"/>
        <v>0</v>
      </c>
      <c r="AZ173" s="1">
        <f t="shared" si="236"/>
        <v>0.95873169999999996</v>
      </c>
    </row>
    <row r="174" spans="1:52" x14ac:dyDescent="0.3">
      <c r="A174" s="3" t="s">
        <v>36</v>
      </c>
      <c r="B174" s="3"/>
      <c r="C174" s="14"/>
      <c r="D174" s="3"/>
      <c r="E174" s="3">
        <v>79.52431</v>
      </c>
      <c r="F174" s="3">
        <v>0.23238700000000001</v>
      </c>
      <c r="G174" s="3">
        <v>83.231830000000002</v>
      </c>
      <c r="H174" s="3">
        <v>85.868639999999999</v>
      </c>
      <c r="I174" s="3">
        <v>0.22675239999999999</v>
      </c>
      <c r="J174" s="4">
        <v>83.125230000000002</v>
      </c>
      <c r="K174" s="1">
        <f t="shared" si="228"/>
        <v>-0.23238700000000001</v>
      </c>
      <c r="L174" s="1">
        <v>0</v>
      </c>
      <c r="M174" s="14"/>
      <c r="N174" s="3"/>
      <c r="O174" s="3"/>
      <c r="P174" s="3"/>
      <c r="Q174" s="3"/>
      <c r="R174" s="3"/>
      <c r="S174" s="3"/>
      <c r="T174" s="4"/>
      <c r="U174" s="1">
        <f t="shared" si="229"/>
        <v>0</v>
      </c>
      <c r="V174" s="1">
        <f t="shared" si="230"/>
        <v>0.95873169999999996</v>
      </c>
      <c r="W174" s="14"/>
      <c r="X174" s="3"/>
      <c r="Y174" s="3"/>
      <c r="Z174" s="3"/>
      <c r="AA174" s="3"/>
      <c r="AB174" s="3"/>
      <c r="AC174" s="3"/>
      <c r="AD174" s="4"/>
      <c r="AE174" s="1">
        <f t="shared" si="231"/>
        <v>0</v>
      </c>
      <c r="AF174" s="1">
        <f t="shared" si="232"/>
        <v>0.95873169999999996</v>
      </c>
      <c r="AG174" s="14"/>
      <c r="AH174" s="3"/>
      <c r="AI174" s="3"/>
      <c r="AJ174" s="3"/>
      <c r="AK174" s="3"/>
      <c r="AL174" s="3"/>
      <c r="AM174" s="3"/>
      <c r="AN174" s="3"/>
      <c r="AO174" s="1">
        <f t="shared" si="233"/>
        <v>0</v>
      </c>
      <c r="AP174" s="1">
        <f t="shared" si="234"/>
        <v>0.95873169999999996</v>
      </c>
      <c r="AQ174" s="14"/>
      <c r="AR174" s="3"/>
      <c r="AS174" s="3"/>
      <c r="AT174" s="3"/>
      <c r="AU174" s="3"/>
      <c r="AV174" s="3"/>
      <c r="AW174" s="3"/>
      <c r="AX174" s="4"/>
      <c r="AY174" s="1">
        <f t="shared" si="235"/>
        <v>0</v>
      </c>
      <c r="AZ174" s="1">
        <f t="shared" si="236"/>
        <v>0.95873169999999996</v>
      </c>
    </row>
    <row r="175" spans="1:52" ht="15" thickBot="1" x14ac:dyDescent="0.35">
      <c r="A175" s="15" t="s">
        <v>49</v>
      </c>
      <c r="B175" s="16">
        <f>SUM(B148:B174)/27</f>
        <v>0</v>
      </c>
      <c r="C175" s="17"/>
      <c r="D175" s="16">
        <f>SUM(D148:D174)/27</f>
        <v>0</v>
      </c>
      <c r="E175" s="16">
        <f t="shared" ref="E175" si="237">SUM(E148:E174)/27</f>
        <v>78.362477777777769</v>
      </c>
      <c r="F175" s="16">
        <f t="shared" ref="F175" si="238">SUM(F148:F174)/27</f>
        <v>0.68747657037037035</v>
      </c>
      <c r="G175" s="16">
        <f t="shared" ref="G175" si="239">SUM(G148:G174)/27</f>
        <v>74.694066666666671</v>
      </c>
      <c r="H175" s="16">
        <f t="shared" ref="H175" si="240">SUM(H148:H174)/27</f>
        <v>84.722682222222204</v>
      </c>
      <c r="I175" s="16">
        <f t="shared" ref="I175" si="241">SUM(I148:I174)/27</f>
        <v>0.6426835481481481</v>
      </c>
      <c r="J175" s="16">
        <f t="shared" ref="J175" si="242">SUM(J148:J174)/27</f>
        <v>74.405247777777774</v>
      </c>
      <c r="K175" s="16">
        <f t="shared" ref="K175" si="243">SUM(K148:K174)/27</f>
        <v>-0.68747657037037035</v>
      </c>
      <c r="L175" s="16">
        <f t="shared" ref="L175" si="244">SUM(L148:L174)/27</f>
        <v>0</v>
      </c>
      <c r="M175" s="17"/>
      <c r="N175" s="16">
        <f>SUM(N148:N174)/27</f>
        <v>0</v>
      </c>
      <c r="O175" s="16">
        <f t="shared" ref="O175" si="245">SUM(O148:O174)/27</f>
        <v>0</v>
      </c>
      <c r="P175" s="16">
        <f t="shared" ref="P175" si="246">SUM(P148:P174)/27</f>
        <v>0</v>
      </c>
      <c r="Q175" s="16">
        <f t="shared" ref="Q175" si="247">SUM(Q148:Q174)/27</f>
        <v>0</v>
      </c>
      <c r="R175" s="16">
        <f t="shared" ref="R175" si="248">SUM(R148:R174)/27</f>
        <v>0</v>
      </c>
      <c r="S175" s="16">
        <f t="shared" ref="S175" si="249">SUM(S148:S174)/27</f>
        <v>0</v>
      </c>
      <c r="T175" s="16">
        <f t="shared" ref="T175" si="250">SUM(T148:T174)/27</f>
        <v>0</v>
      </c>
      <c r="U175" s="16">
        <f t="shared" ref="U175" si="251">SUM(U148:U174)/27</f>
        <v>0</v>
      </c>
      <c r="V175" s="1">
        <f t="shared" si="230"/>
        <v>0.95873169999999996</v>
      </c>
      <c r="W175" s="17"/>
      <c r="X175" s="16">
        <f>SUM(X148:X174)/27</f>
        <v>0</v>
      </c>
      <c r="Y175" s="16">
        <f t="shared" ref="Y175" si="252">SUM(Y148:Y174)/27</f>
        <v>0</v>
      </c>
      <c r="Z175" s="16">
        <f t="shared" ref="Z175" si="253">SUM(Z148:Z174)/27</f>
        <v>0</v>
      </c>
      <c r="AA175" s="16">
        <f t="shared" ref="AA175" si="254">SUM(AA148:AA174)/27</f>
        <v>0</v>
      </c>
      <c r="AB175" s="16">
        <f t="shared" ref="AB175" si="255">SUM(AB148:AB174)/27</f>
        <v>0</v>
      </c>
      <c r="AC175" s="16">
        <f t="shared" ref="AC175" si="256">SUM(AC148:AC174)/27</f>
        <v>0</v>
      </c>
      <c r="AD175" s="16">
        <f t="shared" ref="AD175" si="257">SUM(AD148:AD174)/27</f>
        <v>0</v>
      </c>
      <c r="AE175" s="16">
        <f t="shared" ref="AE175" si="258">SUM(AE148:AE174)/27</f>
        <v>0</v>
      </c>
      <c r="AF175" s="16">
        <f t="shared" ref="AF175" si="259">SUM(AF148:AF174)/27</f>
        <v>0.9587317000000003</v>
      </c>
      <c r="AG175" s="17"/>
      <c r="AH175" s="16">
        <f>SUM(AH148:AH174)/27</f>
        <v>0</v>
      </c>
      <c r="AI175" s="16">
        <f t="shared" ref="AI175" si="260">SUM(AI148:AI174)/27</f>
        <v>0</v>
      </c>
      <c r="AJ175" s="16">
        <f t="shared" ref="AJ175" si="261">SUM(AJ148:AJ174)/27</f>
        <v>0</v>
      </c>
      <c r="AK175" s="16">
        <f t="shared" ref="AK175" si="262">SUM(AK148:AK174)/27</f>
        <v>0</v>
      </c>
      <c r="AL175" s="16">
        <f t="shared" ref="AL175" si="263">SUM(AL148:AL174)/27</f>
        <v>0</v>
      </c>
      <c r="AM175" s="16">
        <f t="shared" ref="AM175" si="264">SUM(AM148:AM174)/27</f>
        <v>0</v>
      </c>
      <c r="AN175" s="16">
        <f t="shared" ref="AN175" si="265">SUM(AN148:AN174)/27</f>
        <v>0</v>
      </c>
      <c r="AO175" s="16">
        <f t="shared" ref="AO175" si="266">SUM(AO148:AO174)/27</f>
        <v>0</v>
      </c>
      <c r="AP175" s="16">
        <f t="shared" ref="AP175" si="267">SUM(AP148:AP174)/27</f>
        <v>0.9587317000000003</v>
      </c>
      <c r="AQ175" s="17"/>
      <c r="AR175" s="16">
        <f>SUM(AR148:AR174)/27</f>
        <v>0</v>
      </c>
      <c r="AS175" s="16">
        <f t="shared" ref="AS175" si="268">SUM(AS148:AS174)/27</f>
        <v>0</v>
      </c>
      <c r="AT175" s="16">
        <f t="shared" ref="AT175" si="269">SUM(AT148:AT174)/27</f>
        <v>0</v>
      </c>
      <c r="AU175" s="16">
        <f t="shared" ref="AU175" si="270">SUM(AU148:AU174)/27</f>
        <v>0</v>
      </c>
      <c r="AV175" s="16">
        <f t="shared" ref="AV175" si="271">SUM(AV148:AV174)/27</f>
        <v>0</v>
      </c>
      <c r="AW175" s="16">
        <f t="shared" ref="AW175" si="272">SUM(AW148:AW174)/27</f>
        <v>0</v>
      </c>
      <c r="AX175" s="16">
        <f t="shared" ref="AX175" si="273">SUM(AX148:AX174)/27</f>
        <v>0</v>
      </c>
      <c r="AY175" s="16">
        <f t="shared" ref="AY175" si="274">SUM(AY148:AY174)/27</f>
        <v>0</v>
      </c>
      <c r="AZ175" s="16">
        <f t="shared" ref="AZ175" si="275">SUM(AZ148:AZ174)/27</f>
        <v>0.9587317000000003</v>
      </c>
    </row>
    <row r="176" spans="1:52" s="10" customFormat="1" ht="15" thickBot="1" x14ac:dyDescent="0.35">
      <c r="A176" s="9" t="s">
        <v>38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</row>
    <row r="177" spans="1:52" x14ac:dyDescent="0.3">
      <c r="A177" s="1" t="s">
        <v>10</v>
      </c>
      <c r="B177" s="1"/>
      <c r="C177" s="11"/>
      <c r="D177" s="1"/>
      <c r="E177" s="1">
        <v>61.85772</v>
      </c>
      <c r="F177" s="1">
        <v>0.95875049999999995</v>
      </c>
      <c r="G177" s="1">
        <v>63.386760000000002</v>
      </c>
      <c r="H177" s="1">
        <v>65.606300000000005</v>
      </c>
      <c r="I177" s="1">
        <v>0.90399180000000001</v>
      </c>
      <c r="J177" s="1">
        <v>63.131349999999998</v>
      </c>
      <c r="K177" s="1">
        <f>B177-F177</f>
        <v>-0.95875049999999995</v>
      </c>
      <c r="L177" s="1">
        <v>0</v>
      </c>
      <c r="M177" s="11"/>
      <c r="N177" s="1"/>
      <c r="O177" s="1"/>
      <c r="P177" s="1"/>
      <c r="Q177" s="1"/>
      <c r="R177" s="1"/>
      <c r="S177" s="1"/>
      <c r="T177" s="1"/>
      <c r="U177" s="1">
        <f>$B$3-P177</f>
        <v>0</v>
      </c>
      <c r="V177" s="1">
        <f>$F$3-P177</f>
        <v>0.95873169999999996</v>
      </c>
      <c r="W177" s="11"/>
      <c r="X177" s="1"/>
      <c r="Y177" s="1"/>
      <c r="Z177" s="1"/>
      <c r="AA177" s="1"/>
      <c r="AB177" s="1"/>
      <c r="AC177" s="1"/>
      <c r="AD177" s="1"/>
      <c r="AE177" s="1">
        <f>$B$3-Z177</f>
        <v>0</v>
      </c>
      <c r="AF177" s="1">
        <f>$F$3-Z177</f>
        <v>0.95873169999999996</v>
      </c>
      <c r="AG177" s="11"/>
      <c r="AH177" s="1"/>
      <c r="AI177" s="1"/>
      <c r="AJ177" s="1"/>
      <c r="AK177" s="1"/>
      <c r="AL177" s="1"/>
      <c r="AM177" s="1"/>
      <c r="AN177" s="1"/>
      <c r="AO177" s="1">
        <f>$B$3-AJ177</f>
        <v>0</v>
      </c>
      <c r="AP177" s="1">
        <f>$F$3-AJ177</f>
        <v>0.95873169999999996</v>
      </c>
      <c r="AQ177" s="11"/>
      <c r="AR177" s="1"/>
      <c r="AS177" s="1"/>
      <c r="AT177" s="1"/>
      <c r="AU177" s="1"/>
      <c r="AV177" s="1"/>
      <c r="AW177" s="1"/>
      <c r="AX177" s="1"/>
      <c r="AY177" s="1">
        <f>$B$3-AT177</f>
        <v>0</v>
      </c>
      <c r="AZ177" s="1">
        <f>$F$3-AT177</f>
        <v>0.95873169999999996</v>
      </c>
    </row>
    <row r="178" spans="1:52" x14ac:dyDescent="0.3">
      <c r="A178" s="2" t="s">
        <v>11</v>
      </c>
      <c r="E178" s="2">
        <v>61.85772</v>
      </c>
      <c r="F178" s="2">
        <v>0.95852009999999999</v>
      </c>
      <c r="G178" s="2">
        <v>64.385710000000003</v>
      </c>
      <c r="H178" s="2">
        <v>65.606300000000005</v>
      </c>
      <c r="I178" s="2">
        <v>0.90378689999999995</v>
      </c>
      <c r="J178" s="1">
        <v>64.130359999999996</v>
      </c>
      <c r="K178" s="1">
        <f t="shared" ref="K178:K203" si="276">B178-F178</f>
        <v>-0.95852009999999999</v>
      </c>
      <c r="L178" s="1">
        <v>0</v>
      </c>
      <c r="T178" s="1"/>
      <c r="U178" s="1">
        <f t="shared" ref="U178:U203" si="277">$B$3-P178</f>
        <v>0</v>
      </c>
      <c r="V178" s="1">
        <f t="shared" ref="V178:V204" si="278">$F$3-P178</f>
        <v>0.95873169999999996</v>
      </c>
      <c r="AD178" s="1"/>
      <c r="AE178" s="1">
        <f t="shared" ref="AE178:AE203" si="279">$B$3-Z178</f>
        <v>0</v>
      </c>
      <c r="AF178" s="1">
        <f t="shared" ref="AF178:AF203" si="280">$F$3-Z178</f>
        <v>0.95873169999999996</v>
      </c>
      <c r="AO178" s="1">
        <f t="shared" ref="AO178:AO203" si="281">$B$3-AJ178</f>
        <v>0</v>
      </c>
      <c r="AP178" s="1">
        <f t="shared" ref="AP178:AP203" si="282">$F$3-AJ178</f>
        <v>0.95873169999999996</v>
      </c>
      <c r="AX178" s="1"/>
      <c r="AY178" s="1">
        <f t="shared" ref="AY178:AY203" si="283">$B$3-AT178</f>
        <v>0</v>
      </c>
      <c r="AZ178" s="1">
        <f t="shared" ref="AZ178:AZ203" si="284">$F$3-AT178</f>
        <v>0.95873169999999996</v>
      </c>
    </row>
    <row r="179" spans="1:52" x14ac:dyDescent="0.3">
      <c r="A179" s="2" t="s">
        <v>12</v>
      </c>
      <c r="E179" s="2">
        <v>61.85772</v>
      </c>
      <c r="F179" s="2">
        <v>0.95815110000000003</v>
      </c>
      <c r="G179" s="2">
        <v>65.384050000000002</v>
      </c>
      <c r="H179" s="2">
        <v>65.606300000000005</v>
      </c>
      <c r="I179" s="2">
        <v>0.90345880000000001</v>
      </c>
      <c r="J179" s="1">
        <v>65.128780000000006</v>
      </c>
      <c r="K179" s="1">
        <f t="shared" si="276"/>
        <v>-0.95815110000000003</v>
      </c>
      <c r="L179" s="1">
        <v>0</v>
      </c>
      <c r="T179" s="1"/>
      <c r="U179" s="1">
        <f t="shared" si="277"/>
        <v>0</v>
      </c>
      <c r="V179" s="1">
        <f t="shared" si="278"/>
        <v>0.95873169999999996</v>
      </c>
      <c r="AD179" s="1"/>
      <c r="AE179" s="1">
        <f t="shared" si="279"/>
        <v>0</v>
      </c>
      <c r="AF179" s="1">
        <f t="shared" si="280"/>
        <v>0.95873169999999996</v>
      </c>
      <c r="AO179" s="1">
        <f t="shared" si="281"/>
        <v>0</v>
      </c>
      <c r="AP179" s="1">
        <f t="shared" si="282"/>
        <v>0.95873169999999996</v>
      </c>
      <c r="AX179" s="1"/>
      <c r="AY179" s="1">
        <f t="shared" si="283"/>
        <v>0</v>
      </c>
      <c r="AZ179" s="1">
        <f t="shared" si="284"/>
        <v>0.95873169999999996</v>
      </c>
    </row>
    <row r="180" spans="1:52" x14ac:dyDescent="0.3">
      <c r="A180" s="2" t="s">
        <v>15</v>
      </c>
      <c r="E180" s="2">
        <v>61.885559999999998</v>
      </c>
      <c r="F180" s="2">
        <v>0.95720079999999996</v>
      </c>
      <c r="G180" s="2">
        <v>66.379739999999998</v>
      </c>
      <c r="H180" s="2">
        <v>65.637690000000006</v>
      </c>
      <c r="I180" s="2">
        <v>0.90256519999999996</v>
      </c>
      <c r="J180" s="1">
        <v>66.124489999999994</v>
      </c>
      <c r="K180" s="1">
        <f t="shared" si="276"/>
        <v>-0.95720079999999996</v>
      </c>
      <c r="L180" s="1">
        <v>0</v>
      </c>
      <c r="T180" s="1"/>
      <c r="U180" s="1">
        <f t="shared" si="277"/>
        <v>0</v>
      </c>
      <c r="V180" s="1">
        <f t="shared" si="278"/>
        <v>0.95873169999999996</v>
      </c>
      <c r="AD180" s="1"/>
      <c r="AE180" s="1">
        <f t="shared" si="279"/>
        <v>0</v>
      </c>
      <c r="AF180" s="1">
        <f t="shared" si="280"/>
        <v>0.95873169999999996</v>
      </c>
      <c r="AO180" s="1">
        <f t="shared" si="281"/>
        <v>0</v>
      </c>
      <c r="AP180" s="1">
        <f t="shared" si="282"/>
        <v>0.95873169999999996</v>
      </c>
      <c r="AX180" s="1"/>
      <c r="AY180" s="1">
        <f t="shared" si="283"/>
        <v>0</v>
      </c>
      <c r="AZ180" s="1">
        <f t="shared" si="284"/>
        <v>0.95873169999999996</v>
      </c>
    </row>
    <row r="181" spans="1:52" x14ac:dyDescent="0.3">
      <c r="A181" s="2" t="s">
        <v>16</v>
      </c>
      <c r="E181" s="2">
        <v>61.885559999999998</v>
      </c>
      <c r="F181" s="2">
        <v>0.95644589999999996</v>
      </c>
      <c r="G181" s="2">
        <v>67.376310000000004</v>
      </c>
      <c r="H181" s="2">
        <v>65.637690000000006</v>
      </c>
      <c r="I181" s="2">
        <v>0.90189399999999997</v>
      </c>
      <c r="J181" s="1">
        <v>67.121260000000007</v>
      </c>
      <c r="K181" s="1">
        <f t="shared" si="276"/>
        <v>-0.95644589999999996</v>
      </c>
      <c r="L181" s="1">
        <v>0</v>
      </c>
      <c r="T181" s="1"/>
      <c r="U181" s="1">
        <f t="shared" si="277"/>
        <v>0</v>
      </c>
      <c r="V181" s="1">
        <f t="shared" si="278"/>
        <v>0.95873169999999996</v>
      </c>
      <c r="AD181" s="1"/>
      <c r="AE181" s="1">
        <f t="shared" si="279"/>
        <v>0</v>
      </c>
      <c r="AF181" s="1">
        <f t="shared" si="280"/>
        <v>0.95873169999999996</v>
      </c>
      <c r="AO181" s="1">
        <f t="shared" si="281"/>
        <v>0</v>
      </c>
      <c r="AP181" s="1">
        <f t="shared" si="282"/>
        <v>0.95873169999999996</v>
      </c>
      <c r="AX181" s="1"/>
      <c r="AY181" s="1">
        <f t="shared" si="283"/>
        <v>0</v>
      </c>
      <c r="AZ181" s="1">
        <f t="shared" si="284"/>
        <v>0.95873169999999996</v>
      </c>
    </row>
    <row r="182" spans="1:52" x14ac:dyDescent="0.3">
      <c r="A182" s="2" t="s">
        <v>25</v>
      </c>
      <c r="E182" s="2">
        <v>61.885559999999998</v>
      </c>
      <c r="F182" s="2">
        <v>0.95525369999999998</v>
      </c>
      <c r="G182" s="2">
        <v>68.370890000000003</v>
      </c>
      <c r="H182" s="2">
        <v>65.637690000000006</v>
      </c>
      <c r="I182" s="2">
        <v>0.90083369999999996</v>
      </c>
      <c r="J182" s="1">
        <v>68.116150000000005</v>
      </c>
      <c r="K182" s="1">
        <f t="shared" si="276"/>
        <v>-0.95525369999999998</v>
      </c>
      <c r="L182" s="1">
        <v>0</v>
      </c>
      <c r="T182" s="1"/>
      <c r="U182" s="1">
        <f t="shared" si="277"/>
        <v>0</v>
      </c>
      <c r="V182" s="1">
        <f t="shared" si="278"/>
        <v>0.95873169999999996</v>
      </c>
      <c r="AD182" s="1"/>
      <c r="AE182" s="1">
        <f t="shared" si="279"/>
        <v>0</v>
      </c>
      <c r="AF182" s="1">
        <f t="shared" si="280"/>
        <v>0.95873169999999996</v>
      </c>
      <c r="AO182" s="1">
        <f t="shared" si="281"/>
        <v>0</v>
      </c>
      <c r="AP182" s="1">
        <f t="shared" si="282"/>
        <v>0.95873169999999996</v>
      </c>
      <c r="AX182" s="1"/>
      <c r="AY182" s="1">
        <f t="shared" si="283"/>
        <v>0</v>
      </c>
      <c r="AZ182" s="1">
        <f t="shared" si="284"/>
        <v>0.95873169999999996</v>
      </c>
    </row>
    <row r="183" spans="1:52" x14ac:dyDescent="0.3">
      <c r="A183" s="2" t="s">
        <v>17</v>
      </c>
      <c r="E183" s="2">
        <v>64.886200000000002</v>
      </c>
      <c r="F183" s="2">
        <v>0.90990420000000005</v>
      </c>
      <c r="G183" s="2">
        <v>69.159670000000006</v>
      </c>
      <c r="H183" s="2">
        <v>69.02704</v>
      </c>
      <c r="I183" s="2">
        <v>0.855572</v>
      </c>
      <c r="J183" s="1">
        <v>68.892269999999996</v>
      </c>
      <c r="K183" s="1">
        <f t="shared" si="276"/>
        <v>-0.90990420000000005</v>
      </c>
      <c r="L183" s="1">
        <v>0</v>
      </c>
      <c r="T183" s="1"/>
      <c r="U183" s="1">
        <f t="shared" si="277"/>
        <v>0</v>
      </c>
      <c r="V183" s="1">
        <f t="shared" si="278"/>
        <v>0.95873169999999996</v>
      </c>
      <c r="AD183" s="1"/>
      <c r="AE183" s="1">
        <f t="shared" si="279"/>
        <v>0</v>
      </c>
      <c r="AF183" s="1">
        <f t="shared" si="280"/>
        <v>0.95873169999999996</v>
      </c>
      <c r="AO183" s="1">
        <f t="shared" si="281"/>
        <v>0</v>
      </c>
      <c r="AP183" s="1">
        <f t="shared" si="282"/>
        <v>0.95873169999999996</v>
      </c>
      <c r="AX183" s="1"/>
      <c r="AY183" s="1">
        <f t="shared" si="283"/>
        <v>0</v>
      </c>
      <c r="AZ183" s="1">
        <f t="shared" si="284"/>
        <v>0.95873169999999996</v>
      </c>
    </row>
    <row r="184" spans="1:52" x14ac:dyDescent="0.3">
      <c r="A184" s="2" t="s">
        <v>18</v>
      </c>
      <c r="E184" s="2">
        <v>64.886200000000002</v>
      </c>
      <c r="F184" s="2">
        <v>0.9082422</v>
      </c>
      <c r="G184" s="2">
        <v>70.151719999999997</v>
      </c>
      <c r="H184" s="2">
        <v>69.02704</v>
      </c>
      <c r="I184" s="2">
        <v>0.85410240000000004</v>
      </c>
      <c r="J184" s="1">
        <v>69.884799999999998</v>
      </c>
      <c r="K184" s="1">
        <f t="shared" si="276"/>
        <v>-0.9082422</v>
      </c>
      <c r="L184" s="1">
        <v>0</v>
      </c>
      <c r="T184" s="1"/>
      <c r="U184" s="1">
        <f t="shared" si="277"/>
        <v>0</v>
      </c>
      <c r="V184" s="1">
        <f t="shared" si="278"/>
        <v>0.95873169999999996</v>
      </c>
      <c r="AD184" s="1"/>
      <c r="AE184" s="1">
        <f t="shared" si="279"/>
        <v>0</v>
      </c>
      <c r="AF184" s="1">
        <f t="shared" si="280"/>
        <v>0.95873169999999996</v>
      </c>
      <c r="AO184" s="1">
        <f t="shared" si="281"/>
        <v>0</v>
      </c>
      <c r="AP184" s="1">
        <f t="shared" si="282"/>
        <v>0.95873169999999996</v>
      </c>
      <c r="AX184" s="1"/>
      <c r="AY184" s="1">
        <f t="shared" si="283"/>
        <v>0</v>
      </c>
      <c r="AZ184" s="1">
        <f t="shared" si="284"/>
        <v>0.95873169999999996</v>
      </c>
    </row>
    <row r="185" spans="1:52" x14ac:dyDescent="0.3">
      <c r="A185" s="2" t="s">
        <v>19</v>
      </c>
      <c r="E185" s="2">
        <v>64.886200000000002</v>
      </c>
      <c r="F185" s="2">
        <v>0.90622440000000004</v>
      </c>
      <c r="G185" s="2">
        <v>71.142060000000001</v>
      </c>
      <c r="H185" s="2">
        <v>69.02704</v>
      </c>
      <c r="I185" s="2">
        <v>0.85231780000000001</v>
      </c>
      <c r="J185" s="1">
        <v>70.875720000000001</v>
      </c>
      <c r="K185" s="1">
        <f t="shared" si="276"/>
        <v>-0.90622440000000004</v>
      </c>
      <c r="L185" s="1">
        <v>0</v>
      </c>
      <c r="T185" s="1"/>
      <c r="U185" s="1">
        <f t="shared" si="277"/>
        <v>0</v>
      </c>
      <c r="V185" s="1">
        <f t="shared" si="278"/>
        <v>0.95873169999999996</v>
      </c>
      <c r="AD185" s="1"/>
      <c r="AE185" s="1">
        <f t="shared" si="279"/>
        <v>0</v>
      </c>
      <c r="AF185" s="1">
        <f t="shared" si="280"/>
        <v>0.95873169999999996</v>
      </c>
      <c r="AO185" s="1">
        <f t="shared" si="281"/>
        <v>0</v>
      </c>
      <c r="AP185" s="1">
        <f t="shared" si="282"/>
        <v>0.95873169999999996</v>
      </c>
      <c r="AX185" s="1"/>
      <c r="AY185" s="1">
        <f t="shared" si="283"/>
        <v>0</v>
      </c>
      <c r="AZ185" s="1">
        <f t="shared" si="284"/>
        <v>0.95873169999999996</v>
      </c>
    </row>
    <row r="186" spans="1:52" x14ac:dyDescent="0.3">
      <c r="A186" s="2" t="s">
        <v>20</v>
      </c>
      <c r="E186" s="2">
        <v>103.3588</v>
      </c>
      <c r="F186" s="2">
        <v>0.56989259999999997</v>
      </c>
      <c r="G186" s="2">
        <v>70.127629999999996</v>
      </c>
      <c r="H186" s="2">
        <v>114.4448</v>
      </c>
      <c r="I186" s="2">
        <v>0.51504830000000001</v>
      </c>
      <c r="J186" s="1">
        <v>69.688180000000003</v>
      </c>
      <c r="K186" s="1">
        <f t="shared" si="276"/>
        <v>-0.56989259999999997</v>
      </c>
      <c r="L186" s="1">
        <v>0</v>
      </c>
      <c r="T186" s="1"/>
      <c r="U186" s="1">
        <f t="shared" si="277"/>
        <v>0</v>
      </c>
      <c r="V186" s="1">
        <f t="shared" si="278"/>
        <v>0.95873169999999996</v>
      </c>
      <c r="AD186" s="1"/>
      <c r="AE186" s="1">
        <f t="shared" si="279"/>
        <v>0</v>
      </c>
      <c r="AF186" s="1">
        <f t="shared" si="280"/>
        <v>0.95873169999999996</v>
      </c>
      <c r="AO186" s="1">
        <f t="shared" si="281"/>
        <v>0</v>
      </c>
      <c r="AP186" s="1">
        <f t="shared" si="282"/>
        <v>0.95873169999999996</v>
      </c>
      <c r="AX186" s="1"/>
      <c r="AY186" s="1">
        <f t="shared" si="283"/>
        <v>0</v>
      </c>
      <c r="AZ186" s="1">
        <f t="shared" si="284"/>
        <v>0.95873169999999996</v>
      </c>
    </row>
    <row r="187" spans="1:52" x14ac:dyDescent="0.3">
      <c r="A187" s="2" t="s">
        <v>21</v>
      </c>
      <c r="E187" s="2">
        <v>103.3588</v>
      </c>
      <c r="F187" s="2">
        <v>0.56899619999999995</v>
      </c>
      <c r="G187" s="2">
        <v>71.120800000000003</v>
      </c>
      <c r="H187" s="2">
        <v>114.4448</v>
      </c>
      <c r="I187" s="2">
        <v>0.514316</v>
      </c>
      <c r="J187" s="1">
        <v>70.682010000000005</v>
      </c>
      <c r="K187" s="1">
        <f t="shared" si="276"/>
        <v>-0.56899619999999995</v>
      </c>
      <c r="L187" s="1">
        <v>0</v>
      </c>
      <c r="T187" s="1"/>
      <c r="U187" s="1">
        <f t="shared" si="277"/>
        <v>0</v>
      </c>
      <c r="V187" s="1">
        <f t="shared" si="278"/>
        <v>0.95873169999999996</v>
      </c>
      <c r="AD187" s="1"/>
      <c r="AE187" s="1">
        <f t="shared" si="279"/>
        <v>0</v>
      </c>
      <c r="AF187" s="1">
        <f t="shared" si="280"/>
        <v>0.95873169999999996</v>
      </c>
      <c r="AO187" s="1">
        <f t="shared" si="281"/>
        <v>0</v>
      </c>
      <c r="AP187" s="1">
        <f t="shared" si="282"/>
        <v>0.95873169999999996</v>
      </c>
      <c r="AX187" s="1"/>
      <c r="AY187" s="1">
        <f t="shared" si="283"/>
        <v>0</v>
      </c>
      <c r="AZ187" s="1">
        <f t="shared" si="284"/>
        <v>0.95873169999999996</v>
      </c>
    </row>
    <row r="188" spans="1:52" x14ac:dyDescent="0.3">
      <c r="A188" s="2" t="s">
        <v>22</v>
      </c>
      <c r="E188" s="2">
        <v>103.3588</v>
      </c>
      <c r="F188" s="2">
        <v>0.56801040000000003</v>
      </c>
      <c r="G188" s="2">
        <v>72.11327</v>
      </c>
      <c r="H188" s="2">
        <v>114.4448</v>
      </c>
      <c r="I188" s="2">
        <v>0.51351040000000003</v>
      </c>
      <c r="J188" s="1">
        <v>71.675200000000004</v>
      </c>
      <c r="K188" s="1">
        <f t="shared" si="276"/>
        <v>-0.56801040000000003</v>
      </c>
      <c r="L188" s="1">
        <v>0</v>
      </c>
      <c r="T188" s="1"/>
      <c r="U188" s="1">
        <f t="shared" si="277"/>
        <v>0</v>
      </c>
      <c r="V188" s="1">
        <f t="shared" si="278"/>
        <v>0.95873169999999996</v>
      </c>
      <c r="AD188" s="1"/>
      <c r="AE188" s="1">
        <f t="shared" si="279"/>
        <v>0</v>
      </c>
      <c r="AF188" s="1">
        <f t="shared" si="280"/>
        <v>0.95873169999999996</v>
      </c>
      <c r="AO188" s="1">
        <f t="shared" si="281"/>
        <v>0</v>
      </c>
      <c r="AP188" s="1">
        <f t="shared" si="282"/>
        <v>0.95873169999999996</v>
      </c>
      <c r="AX188" s="1"/>
      <c r="AY188" s="1">
        <f t="shared" si="283"/>
        <v>0</v>
      </c>
      <c r="AZ188" s="1">
        <f t="shared" si="284"/>
        <v>0.95873169999999996</v>
      </c>
    </row>
    <row r="189" spans="1:52" x14ac:dyDescent="0.3">
      <c r="A189" s="2" t="s">
        <v>23</v>
      </c>
      <c r="E189" s="2">
        <v>86.461920000000006</v>
      </c>
      <c r="F189" s="2">
        <v>0.67597039999999997</v>
      </c>
      <c r="G189" s="2">
        <v>73.868979999999993</v>
      </c>
      <c r="H189" s="2">
        <v>94.035790000000006</v>
      </c>
      <c r="I189" s="2">
        <v>0.6222742</v>
      </c>
      <c r="J189" s="1">
        <v>73.509519999999995</v>
      </c>
      <c r="K189" s="1">
        <f t="shared" si="276"/>
        <v>-0.67597039999999997</v>
      </c>
      <c r="L189" s="1">
        <v>0</v>
      </c>
      <c r="T189" s="1"/>
      <c r="U189" s="1">
        <f t="shared" si="277"/>
        <v>0</v>
      </c>
      <c r="V189" s="1">
        <f t="shared" si="278"/>
        <v>0.95873169999999996</v>
      </c>
      <c r="AD189" s="1"/>
      <c r="AE189" s="1">
        <f t="shared" si="279"/>
        <v>0</v>
      </c>
      <c r="AF189" s="1">
        <f t="shared" si="280"/>
        <v>0.95873169999999996</v>
      </c>
      <c r="AO189" s="1">
        <f t="shared" si="281"/>
        <v>0</v>
      </c>
      <c r="AP189" s="1">
        <f t="shared" si="282"/>
        <v>0.95873169999999996</v>
      </c>
      <c r="AX189" s="1"/>
      <c r="AY189" s="1">
        <f t="shared" si="283"/>
        <v>0</v>
      </c>
      <c r="AZ189" s="1">
        <f t="shared" si="284"/>
        <v>0.95873169999999996</v>
      </c>
    </row>
    <row r="190" spans="1:52" x14ac:dyDescent="0.3">
      <c r="A190" s="2" t="s">
        <v>13</v>
      </c>
      <c r="E190" s="2">
        <v>86.461920000000006</v>
      </c>
      <c r="F190" s="2">
        <v>0.67401920000000004</v>
      </c>
      <c r="G190" s="2">
        <v>74.856430000000003</v>
      </c>
      <c r="H190" s="2">
        <v>94.035790000000006</v>
      </c>
      <c r="I190" s="2">
        <v>0.62062030000000001</v>
      </c>
      <c r="J190" s="1">
        <v>74.497969999999995</v>
      </c>
      <c r="K190" s="1">
        <f t="shared" si="276"/>
        <v>-0.67401920000000004</v>
      </c>
      <c r="L190" s="1">
        <v>0</v>
      </c>
      <c r="T190" s="1"/>
      <c r="U190" s="1">
        <f t="shared" si="277"/>
        <v>0</v>
      </c>
      <c r="V190" s="1">
        <f t="shared" si="278"/>
        <v>0.95873169999999996</v>
      </c>
      <c r="AD190" s="1"/>
      <c r="AE190" s="1">
        <f t="shared" si="279"/>
        <v>0</v>
      </c>
      <c r="AF190" s="1">
        <f t="shared" si="280"/>
        <v>0.95873169999999996</v>
      </c>
      <c r="AO190" s="1">
        <f t="shared" si="281"/>
        <v>0</v>
      </c>
      <c r="AP190" s="1">
        <f t="shared" si="282"/>
        <v>0.95873169999999996</v>
      </c>
      <c r="AX190" s="1"/>
      <c r="AY190" s="1">
        <f t="shared" si="283"/>
        <v>0</v>
      </c>
      <c r="AZ190" s="1">
        <f t="shared" si="284"/>
        <v>0.95873169999999996</v>
      </c>
    </row>
    <row r="191" spans="1:52" x14ac:dyDescent="0.3">
      <c r="A191" s="2" t="s">
        <v>14</v>
      </c>
      <c r="E191" s="2">
        <v>86.461920000000006</v>
      </c>
      <c r="F191" s="2">
        <v>0.67134210000000005</v>
      </c>
      <c r="G191" s="2">
        <v>75.83914</v>
      </c>
      <c r="H191" s="2">
        <v>94.035790000000006</v>
      </c>
      <c r="I191" s="2">
        <v>0.61834979999999995</v>
      </c>
      <c r="J191" s="1">
        <v>75.482039999999998</v>
      </c>
      <c r="K191" s="1">
        <f t="shared" si="276"/>
        <v>-0.67134210000000005</v>
      </c>
      <c r="L191" s="1">
        <v>0</v>
      </c>
      <c r="T191" s="1"/>
      <c r="U191" s="1">
        <f t="shared" si="277"/>
        <v>0</v>
      </c>
      <c r="V191" s="1">
        <f t="shared" si="278"/>
        <v>0.95873169999999996</v>
      </c>
      <c r="AD191" s="1"/>
      <c r="AE191" s="1">
        <f t="shared" si="279"/>
        <v>0</v>
      </c>
      <c r="AF191" s="1">
        <f t="shared" si="280"/>
        <v>0.95873169999999996</v>
      </c>
      <c r="AO191" s="1">
        <f t="shared" si="281"/>
        <v>0</v>
      </c>
      <c r="AP191" s="1">
        <f t="shared" si="282"/>
        <v>0.95873169999999996</v>
      </c>
      <c r="AX191" s="1"/>
      <c r="AY191" s="1">
        <f t="shared" si="283"/>
        <v>0</v>
      </c>
      <c r="AZ191" s="1">
        <f t="shared" si="284"/>
        <v>0.95873169999999996</v>
      </c>
    </row>
    <row r="192" spans="1:52" x14ac:dyDescent="0.3">
      <c r="A192" s="2" t="s">
        <v>26</v>
      </c>
      <c r="E192" s="2">
        <v>88.237780000000001</v>
      </c>
      <c r="F192" s="2">
        <v>0.65388749999999995</v>
      </c>
      <c r="G192" s="2">
        <v>76.724729999999994</v>
      </c>
      <c r="H192" s="2">
        <v>96.144990000000007</v>
      </c>
      <c r="I192" s="2">
        <v>0.60147209999999995</v>
      </c>
      <c r="J192" s="1">
        <v>76.361859999999993</v>
      </c>
      <c r="K192" s="1">
        <f t="shared" si="276"/>
        <v>-0.65388749999999995</v>
      </c>
      <c r="L192" s="1">
        <v>0</v>
      </c>
      <c r="T192" s="1"/>
      <c r="U192" s="1">
        <f t="shared" si="277"/>
        <v>0</v>
      </c>
      <c r="V192" s="1">
        <f t="shared" si="278"/>
        <v>0.95873169999999996</v>
      </c>
      <c r="AD192" s="1"/>
      <c r="AE192" s="1">
        <f t="shared" si="279"/>
        <v>0</v>
      </c>
      <c r="AF192" s="1">
        <f t="shared" si="280"/>
        <v>0.95873169999999996</v>
      </c>
      <c r="AO192" s="1">
        <f t="shared" si="281"/>
        <v>0</v>
      </c>
      <c r="AP192" s="1">
        <f t="shared" si="282"/>
        <v>0.95873169999999996</v>
      </c>
      <c r="AX192" s="1"/>
      <c r="AY192" s="1">
        <f t="shared" si="283"/>
        <v>0</v>
      </c>
      <c r="AZ192" s="1">
        <f t="shared" si="284"/>
        <v>0.95873169999999996</v>
      </c>
    </row>
    <row r="193" spans="1:52" x14ac:dyDescent="0.3">
      <c r="A193" s="2" t="s">
        <v>24</v>
      </c>
      <c r="E193" s="2">
        <v>88.237780000000001</v>
      </c>
      <c r="F193" s="2">
        <v>0.64805170000000001</v>
      </c>
      <c r="G193" s="2">
        <v>77.685810000000004</v>
      </c>
      <c r="H193" s="2">
        <v>96.144990000000007</v>
      </c>
      <c r="I193" s="2">
        <v>0.59653089999999998</v>
      </c>
      <c r="J193" s="1">
        <v>77.326030000000003</v>
      </c>
      <c r="K193" s="1">
        <f t="shared" si="276"/>
        <v>-0.64805170000000001</v>
      </c>
      <c r="L193" s="1">
        <v>0</v>
      </c>
      <c r="T193" s="1"/>
      <c r="U193" s="1">
        <f t="shared" si="277"/>
        <v>0</v>
      </c>
      <c r="V193" s="1">
        <f t="shared" si="278"/>
        <v>0.95873169999999996</v>
      </c>
      <c r="AD193" s="1"/>
      <c r="AE193" s="1">
        <f t="shared" si="279"/>
        <v>0</v>
      </c>
      <c r="AF193" s="1">
        <f t="shared" si="280"/>
        <v>0.95873169999999996</v>
      </c>
      <c r="AO193" s="1">
        <f t="shared" si="281"/>
        <v>0</v>
      </c>
      <c r="AP193" s="1">
        <f t="shared" si="282"/>
        <v>0.95873169999999996</v>
      </c>
      <c r="AX193" s="1"/>
      <c r="AY193" s="1">
        <f t="shared" si="283"/>
        <v>0</v>
      </c>
      <c r="AZ193" s="1">
        <f t="shared" si="284"/>
        <v>0.95873169999999996</v>
      </c>
    </row>
    <row r="194" spans="1:52" x14ac:dyDescent="0.3">
      <c r="A194" s="2" t="s">
        <v>27</v>
      </c>
      <c r="E194" s="2">
        <v>88.237780000000001</v>
      </c>
      <c r="F194" s="2">
        <v>0.63926260000000001</v>
      </c>
      <c r="G194" s="2">
        <v>78.626499999999993</v>
      </c>
      <c r="H194" s="2">
        <v>96.144990000000007</v>
      </c>
      <c r="I194" s="2">
        <v>0.58907560000000003</v>
      </c>
      <c r="J194" s="1">
        <v>78.271420000000006</v>
      </c>
      <c r="K194" s="1">
        <f t="shared" si="276"/>
        <v>-0.63926260000000001</v>
      </c>
      <c r="L194" s="1">
        <v>0</v>
      </c>
      <c r="T194" s="1"/>
      <c r="U194" s="1">
        <f t="shared" si="277"/>
        <v>0</v>
      </c>
      <c r="V194" s="1">
        <f t="shared" si="278"/>
        <v>0.95873169999999996</v>
      </c>
      <c r="AD194" s="1"/>
      <c r="AE194" s="1">
        <f t="shared" si="279"/>
        <v>0</v>
      </c>
      <c r="AF194" s="1">
        <f t="shared" si="280"/>
        <v>0.95873169999999996</v>
      </c>
      <c r="AO194" s="1">
        <f t="shared" si="281"/>
        <v>0</v>
      </c>
      <c r="AP194" s="1">
        <f t="shared" si="282"/>
        <v>0.95873169999999996</v>
      </c>
      <c r="AX194" s="1"/>
      <c r="AY194" s="1">
        <f t="shared" si="283"/>
        <v>0</v>
      </c>
      <c r="AZ194" s="1">
        <f t="shared" si="284"/>
        <v>0.95873169999999996</v>
      </c>
    </row>
    <row r="195" spans="1:52" x14ac:dyDescent="0.3">
      <c r="A195" s="2" t="s">
        <v>28</v>
      </c>
      <c r="E195" s="2">
        <v>79.525700000000001</v>
      </c>
      <c r="F195" s="2">
        <v>0.68881150000000002</v>
      </c>
      <c r="G195" s="2">
        <v>79.950710000000001</v>
      </c>
      <c r="H195" s="2">
        <v>85.870249999999999</v>
      </c>
      <c r="I195" s="2">
        <v>0.64155589999999996</v>
      </c>
      <c r="J195" s="1">
        <v>79.642049999999998</v>
      </c>
      <c r="K195" s="1">
        <f t="shared" si="276"/>
        <v>-0.68881150000000002</v>
      </c>
      <c r="L195" s="1">
        <v>0</v>
      </c>
      <c r="T195" s="1"/>
      <c r="U195" s="1">
        <f t="shared" si="277"/>
        <v>0</v>
      </c>
      <c r="V195" s="1">
        <f t="shared" si="278"/>
        <v>0.95873169999999996</v>
      </c>
      <c r="AD195" s="1"/>
      <c r="AE195" s="1">
        <f t="shared" si="279"/>
        <v>0</v>
      </c>
      <c r="AF195" s="1">
        <f t="shared" si="280"/>
        <v>0.95873169999999996</v>
      </c>
      <c r="AO195" s="1">
        <f t="shared" si="281"/>
        <v>0</v>
      </c>
      <c r="AP195" s="1">
        <f t="shared" si="282"/>
        <v>0.95873169999999996</v>
      </c>
      <c r="AX195" s="1"/>
      <c r="AY195" s="1">
        <f t="shared" si="283"/>
        <v>0</v>
      </c>
      <c r="AZ195" s="1">
        <f t="shared" si="284"/>
        <v>0.95873169999999996</v>
      </c>
    </row>
    <row r="196" spans="1:52" x14ac:dyDescent="0.3">
      <c r="A196" s="2" t="s">
        <v>29</v>
      </c>
      <c r="E196" s="2">
        <v>79.525700000000001</v>
      </c>
      <c r="F196" s="2">
        <v>0.66310999999999998</v>
      </c>
      <c r="G196" s="2">
        <v>80.785560000000004</v>
      </c>
      <c r="H196" s="2">
        <v>85.870249999999999</v>
      </c>
      <c r="I196" s="2">
        <v>0.61920269999999999</v>
      </c>
      <c r="J196" s="1">
        <v>80.488039999999998</v>
      </c>
      <c r="K196" s="1">
        <f t="shared" si="276"/>
        <v>-0.66310999999999998</v>
      </c>
      <c r="L196" s="1">
        <v>0</v>
      </c>
      <c r="T196" s="1"/>
      <c r="U196" s="1">
        <f t="shared" si="277"/>
        <v>0</v>
      </c>
      <c r="V196" s="1">
        <f t="shared" si="278"/>
        <v>0.95873169999999996</v>
      </c>
      <c r="AD196" s="1"/>
      <c r="AE196" s="1">
        <f t="shared" si="279"/>
        <v>0</v>
      </c>
      <c r="AF196" s="1">
        <f t="shared" si="280"/>
        <v>0.95873169999999996</v>
      </c>
      <c r="AO196" s="1">
        <f t="shared" si="281"/>
        <v>0</v>
      </c>
      <c r="AP196" s="1">
        <f t="shared" si="282"/>
        <v>0.95873169999999996</v>
      </c>
      <c r="AX196" s="1"/>
      <c r="AY196" s="1">
        <f t="shared" si="283"/>
        <v>0</v>
      </c>
      <c r="AZ196" s="1">
        <f t="shared" si="284"/>
        <v>0.95873169999999996</v>
      </c>
    </row>
    <row r="197" spans="1:52" x14ac:dyDescent="0.3">
      <c r="A197" s="2" t="s">
        <v>30</v>
      </c>
      <c r="E197" s="2">
        <v>79.525700000000001</v>
      </c>
      <c r="F197" s="2">
        <v>0.62876500000000002</v>
      </c>
      <c r="G197" s="2">
        <v>81.554580000000001</v>
      </c>
      <c r="H197" s="2">
        <v>85.870249999999999</v>
      </c>
      <c r="I197" s="2">
        <v>0.58915229999999996</v>
      </c>
      <c r="J197" s="1">
        <v>81.271979999999999</v>
      </c>
      <c r="K197" s="1">
        <f t="shared" si="276"/>
        <v>-0.62876500000000002</v>
      </c>
      <c r="L197" s="1">
        <v>0</v>
      </c>
      <c r="T197" s="1"/>
      <c r="U197" s="1">
        <f t="shared" si="277"/>
        <v>0</v>
      </c>
      <c r="V197" s="1">
        <f t="shared" si="278"/>
        <v>0.95873169999999996</v>
      </c>
      <c r="AD197" s="1"/>
      <c r="AE197" s="1">
        <f t="shared" si="279"/>
        <v>0</v>
      </c>
      <c r="AF197" s="1">
        <f t="shared" si="280"/>
        <v>0.95873169999999996</v>
      </c>
      <c r="AO197" s="1">
        <f t="shared" si="281"/>
        <v>0</v>
      </c>
      <c r="AP197" s="1">
        <f t="shared" si="282"/>
        <v>0.95873169999999996</v>
      </c>
      <c r="AX197" s="1"/>
      <c r="AY197" s="1">
        <f t="shared" si="283"/>
        <v>0</v>
      </c>
      <c r="AZ197" s="1">
        <f t="shared" si="284"/>
        <v>0.95873169999999996</v>
      </c>
    </row>
    <row r="198" spans="1:52" x14ac:dyDescent="0.3">
      <c r="A198" s="2" t="s">
        <v>31</v>
      </c>
      <c r="E198" s="2">
        <v>79.52431</v>
      </c>
      <c r="F198" s="2">
        <v>0.58052250000000005</v>
      </c>
      <c r="G198" s="2">
        <v>82.207899999999995</v>
      </c>
      <c r="H198" s="2">
        <v>85.868639999999999</v>
      </c>
      <c r="I198" s="2">
        <v>0.54659239999999998</v>
      </c>
      <c r="J198" s="1">
        <v>81.946340000000006</v>
      </c>
      <c r="K198" s="1">
        <f t="shared" si="276"/>
        <v>-0.58052250000000005</v>
      </c>
      <c r="L198" s="1">
        <v>0</v>
      </c>
      <c r="T198" s="1"/>
      <c r="U198" s="1">
        <f t="shared" si="277"/>
        <v>0</v>
      </c>
      <c r="V198" s="1">
        <f t="shared" si="278"/>
        <v>0.95873169999999996</v>
      </c>
      <c r="AD198" s="1"/>
      <c r="AE198" s="1">
        <f t="shared" si="279"/>
        <v>0</v>
      </c>
      <c r="AF198" s="1">
        <f t="shared" si="280"/>
        <v>0.95873169999999996</v>
      </c>
      <c r="AO198" s="1">
        <f t="shared" si="281"/>
        <v>0</v>
      </c>
      <c r="AP198" s="1">
        <f t="shared" si="282"/>
        <v>0.95873169999999996</v>
      </c>
      <c r="AX198" s="1"/>
      <c r="AY198" s="1">
        <f t="shared" si="283"/>
        <v>0</v>
      </c>
      <c r="AZ198" s="1">
        <f t="shared" si="284"/>
        <v>0.95873169999999996</v>
      </c>
    </row>
    <row r="199" spans="1:52" x14ac:dyDescent="0.3">
      <c r="A199" s="2" t="s">
        <v>32</v>
      </c>
      <c r="E199" s="2">
        <v>79.52431</v>
      </c>
      <c r="F199" s="2">
        <v>0.51666440000000002</v>
      </c>
      <c r="G199" s="2">
        <v>82.701790000000003</v>
      </c>
      <c r="H199" s="2">
        <v>85.868639999999999</v>
      </c>
      <c r="I199" s="2">
        <v>0.48961450000000001</v>
      </c>
      <c r="J199" s="1">
        <v>82.468249999999998</v>
      </c>
      <c r="K199" s="1">
        <f t="shared" si="276"/>
        <v>-0.51666440000000002</v>
      </c>
      <c r="L199" s="1">
        <v>0</v>
      </c>
      <c r="T199" s="1"/>
      <c r="U199" s="1">
        <f t="shared" si="277"/>
        <v>0</v>
      </c>
      <c r="V199" s="1">
        <f t="shared" si="278"/>
        <v>0.95873169999999996</v>
      </c>
      <c r="AD199" s="1"/>
      <c r="AE199" s="1">
        <f t="shared" si="279"/>
        <v>0</v>
      </c>
      <c r="AF199" s="1">
        <f t="shared" si="280"/>
        <v>0.95873169999999996</v>
      </c>
      <c r="AO199" s="1">
        <f t="shared" si="281"/>
        <v>0</v>
      </c>
      <c r="AP199" s="1">
        <f t="shared" si="282"/>
        <v>0.95873169999999996</v>
      </c>
      <c r="AX199" s="1"/>
      <c r="AY199" s="1">
        <f t="shared" si="283"/>
        <v>0</v>
      </c>
      <c r="AZ199" s="1">
        <f t="shared" si="284"/>
        <v>0.95873169999999996</v>
      </c>
    </row>
    <row r="200" spans="1:52" x14ac:dyDescent="0.3">
      <c r="A200" s="2" t="s">
        <v>33</v>
      </c>
      <c r="E200" s="2">
        <v>79.52431</v>
      </c>
      <c r="F200" s="2">
        <v>0.44679360000000001</v>
      </c>
      <c r="G200" s="2">
        <v>83.070769999999996</v>
      </c>
      <c r="H200" s="2">
        <v>85.868639999999999</v>
      </c>
      <c r="I200" s="2">
        <v>0.42642089999999999</v>
      </c>
      <c r="J200" s="1">
        <v>82.868089999999995</v>
      </c>
      <c r="K200" s="1">
        <f t="shared" si="276"/>
        <v>-0.44679360000000001</v>
      </c>
      <c r="L200" s="1">
        <v>0</v>
      </c>
      <c r="T200" s="1"/>
      <c r="U200" s="1">
        <f t="shared" si="277"/>
        <v>0</v>
      </c>
      <c r="V200" s="1">
        <f t="shared" si="278"/>
        <v>0.95873169999999996</v>
      </c>
      <c r="AD200" s="1"/>
      <c r="AE200" s="1">
        <f t="shared" si="279"/>
        <v>0</v>
      </c>
      <c r="AF200" s="1">
        <f t="shared" si="280"/>
        <v>0.95873169999999996</v>
      </c>
      <c r="AO200" s="1">
        <f t="shared" si="281"/>
        <v>0</v>
      </c>
      <c r="AP200" s="1">
        <f t="shared" si="282"/>
        <v>0.95873169999999996</v>
      </c>
      <c r="AX200" s="1"/>
      <c r="AY200" s="1">
        <f t="shared" si="283"/>
        <v>0</v>
      </c>
      <c r="AZ200" s="1">
        <f t="shared" si="284"/>
        <v>0.95873169999999996</v>
      </c>
    </row>
    <row r="201" spans="1:52" x14ac:dyDescent="0.3">
      <c r="A201" s="2" t="s">
        <v>34</v>
      </c>
      <c r="E201" s="2">
        <v>79.52431</v>
      </c>
      <c r="F201" s="2">
        <v>0.37264940000000002</v>
      </c>
      <c r="G201" s="2">
        <v>83.282709999999994</v>
      </c>
      <c r="H201" s="2">
        <v>85.868639999999999</v>
      </c>
      <c r="I201" s="2">
        <v>0.3583693</v>
      </c>
      <c r="J201" s="1">
        <v>83.113010000000003</v>
      </c>
      <c r="K201" s="1">
        <f t="shared" si="276"/>
        <v>-0.37264940000000002</v>
      </c>
      <c r="L201" s="1">
        <v>0</v>
      </c>
      <c r="T201" s="1"/>
      <c r="U201" s="1">
        <f t="shared" si="277"/>
        <v>0</v>
      </c>
      <c r="V201" s="1">
        <f t="shared" si="278"/>
        <v>0.95873169999999996</v>
      </c>
      <c r="AD201" s="1"/>
      <c r="AE201" s="1">
        <f t="shared" si="279"/>
        <v>0</v>
      </c>
      <c r="AF201" s="1">
        <f t="shared" si="280"/>
        <v>0.95873169999999996</v>
      </c>
      <c r="AO201" s="1">
        <f t="shared" si="281"/>
        <v>0</v>
      </c>
      <c r="AP201" s="1">
        <f t="shared" si="282"/>
        <v>0.95873169999999996</v>
      </c>
      <c r="AX201" s="1"/>
      <c r="AY201" s="1">
        <f t="shared" si="283"/>
        <v>0</v>
      </c>
      <c r="AZ201" s="1">
        <f t="shared" si="284"/>
        <v>0.95873169999999996</v>
      </c>
    </row>
    <row r="202" spans="1:52" x14ac:dyDescent="0.3">
      <c r="A202" s="2" t="s">
        <v>35</v>
      </c>
      <c r="E202" s="2">
        <v>79.52431</v>
      </c>
      <c r="F202" s="2">
        <v>0.29403839999999998</v>
      </c>
      <c r="G202" s="2">
        <v>83.253749999999997</v>
      </c>
      <c r="H202" s="2">
        <v>85.868639999999999</v>
      </c>
      <c r="I202" s="2">
        <v>0.28507519999999997</v>
      </c>
      <c r="J202" s="1">
        <v>83.119290000000007</v>
      </c>
      <c r="K202" s="1">
        <f t="shared" si="276"/>
        <v>-0.29403839999999998</v>
      </c>
      <c r="L202" s="1">
        <v>0</v>
      </c>
      <c r="T202" s="1"/>
      <c r="U202" s="1">
        <f t="shared" si="277"/>
        <v>0</v>
      </c>
      <c r="V202" s="1">
        <f t="shared" si="278"/>
        <v>0.95873169999999996</v>
      </c>
      <c r="AD202" s="1"/>
      <c r="AE202" s="1">
        <f t="shared" si="279"/>
        <v>0</v>
      </c>
      <c r="AF202" s="1">
        <f t="shared" si="280"/>
        <v>0.95873169999999996</v>
      </c>
      <c r="AO202" s="1">
        <f t="shared" si="281"/>
        <v>0</v>
      </c>
      <c r="AP202" s="1">
        <f t="shared" si="282"/>
        <v>0.95873169999999996</v>
      </c>
      <c r="AX202" s="1"/>
      <c r="AY202" s="1">
        <f t="shared" si="283"/>
        <v>0</v>
      </c>
      <c r="AZ202" s="1">
        <f t="shared" si="284"/>
        <v>0.95873169999999996</v>
      </c>
    </row>
    <row r="203" spans="1:52" x14ac:dyDescent="0.3">
      <c r="A203" s="3" t="s">
        <v>36</v>
      </c>
      <c r="B203" s="3"/>
      <c r="C203" s="14"/>
      <c r="D203" s="3"/>
      <c r="E203" s="3">
        <v>79.52431</v>
      </c>
      <c r="F203" s="3">
        <v>0.23238700000000001</v>
      </c>
      <c r="G203" s="3">
        <v>83.231830000000002</v>
      </c>
      <c r="H203" s="3">
        <v>85.868639999999999</v>
      </c>
      <c r="I203" s="3">
        <v>0.22675239999999999</v>
      </c>
      <c r="J203" s="4">
        <v>83.125230000000002</v>
      </c>
      <c r="K203" s="1">
        <f t="shared" si="276"/>
        <v>-0.23238700000000001</v>
      </c>
      <c r="L203" s="1">
        <v>0</v>
      </c>
      <c r="M203" s="14"/>
      <c r="N203" s="3"/>
      <c r="O203" s="3"/>
      <c r="P203" s="3"/>
      <c r="Q203" s="3"/>
      <c r="R203" s="3"/>
      <c r="S203" s="3"/>
      <c r="T203" s="4"/>
      <c r="U203" s="1">
        <f t="shared" si="277"/>
        <v>0</v>
      </c>
      <c r="V203" s="1">
        <f t="shared" si="278"/>
        <v>0.95873169999999996</v>
      </c>
      <c r="W203" s="14"/>
      <c r="X203" s="3"/>
      <c r="Y203" s="3"/>
      <c r="Z203" s="3"/>
      <c r="AA203" s="3"/>
      <c r="AB203" s="3"/>
      <c r="AC203" s="3"/>
      <c r="AD203" s="4"/>
      <c r="AE203" s="1">
        <f t="shared" si="279"/>
        <v>0</v>
      </c>
      <c r="AF203" s="1">
        <f t="shared" si="280"/>
        <v>0.95873169999999996</v>
      </c>
      <c r="AG203" s="14"/>
      <c r="AH203" s="3"/>
      <c r="AI203" s="3"/>
      <c r="AJ203" s="3"/>
      <c r="AK203" s="3"/>
      <c r="AL203" s="3"/>
      <c r="AM203" s="3"/>
      <c r="AN203" s="3"/>
      <c r="AO203" s="1">
        <f t="shared" si="281"/>
        <v>0</v>
      </c>
      <c r="AP203" s="1">
        <f t="shared" si="282"/>
        <v>0.95873169999999996</v>
      </c>
      <c r="AQ203" s="14"/>
      <c r="AR203" s="3"/>
      <c r="AS203" s="3"/>
      <c r="AT203" s="3"/>
      <c r="AU203" s="3"/>
      <c r="AV203" s="3"/>
      <c r="AW203" s="3"/>
      <c r="AX203" s="4"/>
      <c r="AY203" s="1">
        <f t="shared" si="283"/>
        <v>0</v>
      </c>
      <c r="AZ203" s="1">
        <f t="shared" si="284"/>
        <v>0.95873169999999996</v>
      </c>
    </row>
    <row r="204" spans="1:52" ht="15" thickBot="1" x14ac:dyDescent="0.35">
      <c r="A204" s="15" t="s">
        <v>49</v>
      </c>
      <c r="B204" s="16">
        <f>SUM(B177:B203)/27</f>
        <v>0</v>
      </c>
      <c r="C204" s="17"/>
      <c r="D204" s="16">
        <f>SUM(D177:D203)/27</f>
        <v>0</v>
      </c>
      <c r="E204" s="16">
        <f t="shared" ref="E204" si="285">SUM(E177:E203)/27</f>
        <v>78.362477777777769</v>
      </c>
      <c r="F204" s="16">
        <f t="shared" ref="F204" si="286">SUM(F177:F203)/27</f>
        <v>0.68747657037037035</v>
      </c>
      <c r="G204" s="16">
        <f t="shared" ref="G204" si="287">SUM(G177:G203)/27</f>
        <v>74.694066666666671</v>
      </c>
      <c r="H204" s="16">
        <f t="shared" ref="H204" si="288">SUM(H177:H203)/27</f>
        <v>84.722682222222204</v>
      </c>
      <c r="I204" s="16">
        <f t="shared" ref="I204" si="289">SUM(I177:I203)/27</f>
        <v>0.6426835481481481</v>
      </c>
      <c r="J204" s="16">
        <f t="shared" ref="J204" si="290">SUM(J177:J203)/27</f>
        <v>74.405247777777774</v>
      </c>
      <c r="K204" s="16">
        <f t="shared" ref="K204" si="291">SUM(K177:K203)/27</f>
        <v>-0.68747657037037035</v>
      </c>
      <c r="L204" s="16">
        <f t="shared" ref="L204" si="292">SUM(L177:L203)/27</f>
        <v>0</v>
      </c>
      <c r="M204" s="17"/>
      <c r="N204" s="16">
        <f>SUM(N177:N203)/27</f>
        <v>0</v>
      </c>
      <c r="O204" s="16">
        <f t="shared" ref="O204" si="293">SUM(O177:O203)/27</f>
        <v>0</v>
      </c>
      <c r="P204" s="16">
        <f t="shared" ref="P204" si="294">SUM(P177:P203)/27</f>
        <v>0</v>
      </c>
      <c r="Q204" s="16">
        <f t="shared" ref="Q204" si="295">SUM(Q177:Q203)/27</f>
        <v>0</v>
      </c>
      <c r="R204" s="16">
        <f t="shared" ref="R204" si="296">SUM(R177:R203)/27</f>
        <v>0</v>
      </c>
      <c r="S204" s="16">
        <f t="shared" ref="S204" si="297">SUM(S177:S203)/27</f>
        <v>0</v>
      </c>
      <c r="T204" s="16">
        <f t="shared" ref="T204" si="298">SUM(T177:T203)/27</f>
        <v>0</v>
      </c>
      <c r="U204" s="16">
        <f t="shared" ref="U204" si="299">SUM(U177:U203)/27</f>
        <v>0</v>
      </c>
      <c r="V204" s="1">
        <f t="shared" si="278"/>
        <v>0.95873169999999996</v>
      </c>
      <c r="W204" s="17"/>
      <c r="X204" s="16">
        <f>SUM(X177:X203)/27</f>
        <v>0</v>
      </c>
      <c r="Y204" s="16">
        <f t="shared" ref="Y204" si="300">SUM(Y177:Y203)/27</f>
        <v>0</v>
      </c>
      <c r="Z204" s="16">
        <f t="shared" ref="Z204" si="301">SUM(Z177:Z203)/27</f>
        <v>0</v>
      </c>
      <c r="AA204" s="16">
        <f t="shared" ref="AA204" si="302">SUM(AA177:AA203)/27</f>
        <v>0</v>
      </c>
      <c r="AB204" s="16">
        <f t="shared" ref="AB204" si="303">SUM(AB177:AB203)/27</f>
        <v>0</v>
      </c>
      <c r="AC204" s="16">
        <f t="shared" ref="AC204" si="304">SUM(AC177:AC203)/27</f>
        <v>0</v>
      </c>
      <c r="AD204" s="16">
        <f t="shared" ref="AD204" si="305">SUM(AD177:AD203)/27</f>
        <v>0</v>
      </c>
      <c r="AE204" s="16">
        <f t="shared" ref="AE204" si="306">SUM(AE177:AE203)/27</f>
        <v>0</v>
      </c>
      <c r="AF204" s="16">
        <f t="shared" ref="AF204" si="307">SUM(AF177:AF203)/27</f>
        <v>0.9587317000000003</v>
      </c>
      <c r="AG204" s="17"/>
      <c r="AH204" s="16">
        <f>SUM(AH177:AH203)/27</f>
        <v>0</v>
      </c>
      <c r="AI204" s="16">
        <f t="shared" ref="AI204" si="308">SUM(AI177:AI203)/27</f>
        <v>0</v>
      </c>
      <c r="AJ204" s="16">
        <f t="shared" ref="AJ204" si="309">SUM(AJ177:AJ203)/27</f>
        <v>0</v>
      </c>
      <c r="AK204" s="16">
        <f t="shared" ref="AK204" si="310">SUM(AK177:AK203)/27</f>
        <v>0</v>
      </c>
      <c r="AL204" s="16">
        <f t="shared" ref="AL204" si="311">SUM(AL177:AL203)/27</f>
        <v>0</v>
      </c>
      <c r="AM204" s="16">
        <f t="shared" ref="AM204" si="312">SUM(AM177:AM203)/27</f>
        <v>0</v>
      </c>
      <c r="AN204" s="16">
        <f t="shared" ref="AN204" si="313">SUM(AN177:AN203)/27</f>
        <v>0</v>
      </c>
      <c r="AO204" s="16">
        <f t="shared" ref="AO204" si="314">SUM(AO177:AO203)/27</f>
        <v>0</v>
      </c>
      <c r="AP204" s="16">
        <f t="shared" ref="AP204" si="315">SUM(AP177:AP203)/27</f>
        <v>0.9587317000000003</v>
      </c>
      <c r="AQ204" s="17"/>
      <c r="AR204" s="16">
        <f>SUM(AR177:AR203)/27</f>
        <v>0</v>
      </c>
      <c r="AS204" s="16">
        <f t="shared" ref="AS204" si="316">SUM(AS177:AS203)/27</f>
        <v>0</v>
      </c>
      <c r="AT204" s="16">
        <f t="shared" ref="AT204" si="317">SUM(AT177:AT203)/27</f>
        <v>0</v>
      </c>
      <c r="AU204" s="16">
        <f t="shared" ref="AU204" si="318">SUM(AU177:AU203)/27</f>
        <v>0</v>
      </c>
      <c r="AV204" s="16">
        <f t="shared" ref="AV204" si="319">SUM(AV177:AV203)/27</f>
        <v>0</v>
      </c>
      <c r="AW204" s="16">
        <f t="shared" ref="AW204" si="320">SUM(AW177:AW203)/27</f>
        <v>0</v>
      </c>
      <c r="AX204" s="16">
        <f t="shared" ref="AX204" si="321">SUM(AX177:AX203)/27</f>
        <v>0</v>
      </c>
      <c r="AY204" s="16">
        <f t="shared" ref="AY204" si="322">SUM(AY177:AY203)/27</f>
        <v>0</v>
      </c>
      <c r="AZ204" s="16">
        <f t="shared" ref="AZ204" si="323">SUM(AZ177:AZ203)/27</f>
        <v>0.9587317000000003</v>
      </c>
    </row>
    <row r="205" spans="1:52" s="10" customFormat="1" ht="15" thickBot="1" x14ac:dyDescent="0.35">
      <c r="A205" s="9" t="s">
        <v>37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</row>
    <row r="206" spans="1:52" x14ac:dyDescent="0.3">
      <c r="A206" s="1" t="s">
        <v>10</v>
      </c>
      <c r="B206" s="1"/>
      <c r="C206" s="11"/>
      <c r="E206" s="1">
        <v>61.85772</v>
      </c>
      <c r="F206" s="1">
        <v>0.95875049999999995</v>
      </c>
      <c r="G206" s="1">
        <v>63.386760000000002</v>
      </c>
      <c r="H206" s="1">
        <v>65.606300000000005</v>
      </c>
      <c r="I206" s="1">
        <v>0.90399180000000001</v>
      </c>
      <c r="J206" s="1">
        <v>63.131349999999998</v>
      </c>
      <c r="K206" s="1">
        <f>B206-F206</f>
        <v>-0.95875049999999995</v>
      </c>
      <c r="L206" s="1">
        <v>0</v>
      </c>
      <c r="M206" s="11"/>
      <c r="N206" s="1"/>
      <c r="O206" s="1">
        <v>63.150550000000003</v>
      </c>
      <c r="P206" s="1">
        <v>0.93657049999999997</v>
      </c>
      <c r="Q206" s="1">
        <v>63.296970000000002</v>
      </c>
      <c r="R206" s="1">
        <v>66.963509999999999</v>
      </c>
      <c r="S206" s="1">
        <v>0.8832622</v>
      </c>
      <c r="T206" s="1">
        <v>63.042459999999998</v>
      </c>
      <c r="U206" s="1">
        <f>$B$3-P206</f>
        <v>-0.93657049999999997</v>
      </c>
      <c r="V206" s="1">
        <f>$F$3-P206</f>
        <v>2.2161199999999992E-2</v>
      </c>
      <c r="W206" s="11"/>
      <c r="X206" s="1"/>
      <c r="Y206" s="1">
        <v>64.175169999999994</v>
      </c>
      <c r="Z206" s="1">
        <v>0.92340109999999997</v>
      </c>
      <c r="AA206" s="1">
        <v>63.2271</v>
      </c>
      <c r="AB206" s="1">
        <v>67.862780000000001</v>
      </c>
      <c r="AC206" s="1">
        <v>0.87324349999999995</v>
      </c>
      <c r="AD206" s="1">
        <v>62.984549999999999</v>
      </c>
      <c r="AE206" s="1">
        <f>$B$3-Z206</f>
        <v>-0.92340109999999997</v>
      </c>
      <c r="AF206" s="1">
        <f>$F$3-Z206</f>
        <v>3.533059999999999E-2</v>
      </c>
      <c r="AG206" s="11"/>
      <c r="AH206" s="1"/>
      <c r="AI206" s="1">
        <v>63.653829999999999</v>
      </c>
      <c r="AJ206" s="1">
        <v>0.92391259999999997</v>
      </c>
      <c r="AK206" s="1">
        <v>63.262520000000002</v>
      </c>
      <c r="AL206" s="1">
        <v>67.034409999999994</v>
      </c>
      <c r="AM206" s="1">
        <v>0.87733720000000004</v>
      </c>
      <c r="AN206" s="1">
        <v>63.037880000000001</v>
      </c>
      <c r="AO206" s="1">
        <f>$B$3-AJ206</f>
        <v>-0.92391259999999997</v>
      </c>
      <c r="AP206" s="1">
        <f>$F$3-AJ206</f>
        <v>3.4819099999999992E-2</v>
      </c>
      <c r="AQ206" s="11"/>
      <c r="AR206" s="1"/>
      <c r="AS206" s="1"/>
      <c r="AT206" s="1"/>
      <c r="AU206" s="1"/>
      <c r="AV206" s="1"/>
      <c r="AW206" s="1"/>
      <c r="AX206" s="1"/>
      <c r="AY206" s="1">
        <f>$B$3-AT206</f>
        <v>0</v>
      </c>
      <c r="AZ206" s="1">
        <f>$F$3-AT206</f>
        <v>0.95873169999999996</v>
      </c>
    </row>
    <row r="207" spans="1:52" x14ac:dyDescent="0.3">
      <c r="A207" s="2" t="s">
        <v>11</v>
      </c>
      <c r="E207" s="2">
        <v>61.85772</v>
      </c>
      <c r="F207" s="2">
        <v>0.95852009999999999</v>
      </c>
      <c r="G207" s="2">
        <v>64.385710000000003</v>
      </c>
      <c r="H207" s="2">
        <v>65.606300000000005</v>
      </c>
      <c r="I207" s="2">
        <v>0.90378689999999995</v>
      </c>
      <c r="J207" s="2">
        <v>64.130359999999996</v>
      </c>
      <c r="K207" s="1">
        <f t="shared" ref="K207:K233" si="324">B207-F207</f>
        <v>-0.95852009999999999</v>
      </c>
      <c r="L207" s="1">
        <v>0</v>
      </c>
      <c r="O207" s="2">
        <v>63.66563</v>
      </c>
      <c r="P207" s="2">
        <v>0.92878000000000005</v>
      </c>
      <c r="Q207" s="2">
        <v>64.2607</v>
      </c>
      <c r="R207" s="2">
        <v>67.543670000000006</v>
      </c>
      <c r="S207" s="2">
        <v>0.87548630000000005</v>
      </c>
      <c r="T207" s="1">
        <v>64.004059999999996</v>
      </c>
      <c r="U207" s="1">
        <f t="shared" ref="U207:U232" si="325">$B$3-P207</f>
        <v>-0.92878000000000005</v>
      </c>
      <c r="V207" s="1">
        <f t="shared" ref="V207:V233" si="326">$F$3-P207</f>
        <v>2.9951699999999915E-2</v>
      </c>
      <c r="Y207" s="2">
        <v>64.699449999999999</v>
      </c>
      <c r="Z207" s="2">
        <v>0.9157111</v>
      </c>
      <c r="AA207" s="2">
        <v>64.190780000000004</v>
      </c>
      <c r="AB207" s="2">
        <v>68.449839999999995</v>
      </c>
      <c r="AC207" s="2">
        <v>0.86556909999999998</v>
      </c>
      <c r="AD207" s="1">
        <v>63.946210000000001</v>
      </c>
      <c r="AE207" s="1">
        <f t="shared" ref="AE207:AE232" si="327">$B$3-Z207</f>
        <v>-0.9157111</v>
      </c>
      <c r="AF207" s="1">
        <f t="shared" ref="AF207:AF232" si="328">$F$3-Z207</f>
        <v>4.3020599999999964E-2</v>
      </c>
      <c r="AI207" s="2">
        <v>64.169150000000002</v>
      </c>
      <c r="AJ207" s="2">
        <v>0.91628540000000003</v>
      </c>
      <c r="AK207" s="2">
        <v>64.226519999999994</v>
      </c>
      <c r="AL207" s="2">
        <v>67.60718</v>
      </c>
      <c r="AM207" s="2">
        <v>0.86971759999999998</v>
      </c>
      <c r="AN207" s="2">
        <v>63.999989999999997</v>
      </c>
      <c r="AO207" s="1">
        <f t="shared" ref="AO207:AO232" si="329">$B$3-AJ207</f>
        <v>-0.91628540000000003</v>
      </c>
      <c r="AP207" s="1">
        <f t="shared" ref="AP207:AP232" si="330">$F$3-AJ207</f>
        <v>4.2446299999999937E-2</v>
      </c>
      <c r="AX207" s="1"/>
      <c r="AY207" s="1">
        <f t="shared" ref="AY207:AY232" si="331">$B$3-AT207</f>
        <v>0</v>
      </c>
      <c r="AZ207" s="1">
        <f t="shared" ref="AZ207:AZ232" si="332">$F$3-AT207</f>
        <v>0.95873169999999996</v>
      </c>
    </row>
    <row r="208" spans="1:52" x14ac:dyDescent="0.3">
      <c r="A208" s="2" t="s">
        <v>12</v>
      </c>
      <c r="E208" s="2">
        <v>61.85772</v>
      </c>
      <c r="F208" s="2">
        <v>0.95815110000000003</v>
      </c>
      <c r="G208" s="2">
        <v>65.384050000000002</v>
      </c>
      <c r="H208" s="2">
        <v>65.606300000000005</v>
      </c>
      <c r="I208" s="2">
        <v>0.90345880000000001</v>
      </c>
      <c r="J208" s="2">
        <v>65.128780000000006</v>
      </c>
      <c r="K208" s="1">
        <f t="shared" si="324"/>
        <v>-0.95815110000000003</v>
      </c>
      <c r="L208" s="1">
        <v>0</v>
      </c>
      <c r="O208" s="2">
        <v>64.009029999999996</v>
      </c>
      <c r="P208" s="2">
        <v>0.92345770000000005</v>
      </c>
      <c r="Q208" s="2">
        <v>65.235730000000004</v>
      </c>
      <c r="R208" s="2">
        <v>67.930660000000003</v>
      </c>
      <c r="S208" s="2">
        <v>0.87019749999999996</v>
      </c>
      <c r="T208" s="1">
        <v>64.977739999999997</v>
      </c>
      <c r="U208" s="1">
        <f t="shared" si="325"/>
        <v>-0.92345770000000005</v>
      </c>
      <c r="V208" s="1">
        <f t="shared" si="326"/>
        <v>3.5273999999999917E-2</v>
      </c>
      <c r="Y208" s="2">
        <v>65.048450000000003</v>
      </c>
      <c r="Z208" s="2">
        <v>0.91046800000000006</v>
      </c>
      <c r="AA208" s="2">
        <v>65.165840000000003</v>
      </c>
      <c r="AB208" s="2">
        <v>68.841650000000001</v>
      </c>
      <c r="AC208" s="2">
        <v>0.860348</v>
      </c>
      <c r="AD208" s="1">
        <v>64.919939999999997</v>
      </c>
      <c r="AE208" s="1">
        <f t="shared" si="327"/>
        <v>-0.91046800000000006</v>
      </c>
      <c r="AF208" s="1">
        <f t="shared" si="328"/>
        <v>4.8263699999999909E-2</v>
      </c>
      <c r="AI208" s="2">
        <v>64.512990000000002</v>
      </c>
      <c r="AJ208" s="2">
        <v>0.91107130000000003</v>
      </c>
      <c r="AK208" s="2">
        <v>65.201740000000001</v>
      </c>
      <c r="AL208" s="2">
        <v>67.989180000000005</v>
      </c>
      <c r="AM208" s="2">
        <v>0.86453349999999995</v>
      </c>
      <c r="AN208" s="2">
        <v>64.974029999999999</v>
      </c>
      <c r="AO208" s="1">
        <f t="shared" si="329"/>
        <v>-0.91107130000000003</v>
      </c>
      <c r="AP208" s="1">
        <f t="shared" si="330"/>
        <v>4.7660399999999936E-2</v>
      </c>
      <c r="AX208" s="1"/>
      <c r="AY208" s="1">
        <f t="shared" si="331"/>
        <v>0</v>
      </c>
      <c r="AZ208" s="1">
        <f t="shared" si="332"/>
        <v>0.95873169999999996</v>
      </c>
    </row>
    <row r="209" spans="1:52" x14ac:dyDescent="0.3">
      <c r="A209" s="2" t="s">
        <v>15</v>
      </c>
      <c r="E209" s="2">
        <v>61.885559999999998</v>
      </c>
      <c r="F209" s="2">
        <v>0.95720079999999996</v>
      </c>
      <c r="G209" s="2">
        <v>66.379739999999998</v>
      </c>
      <c r="H209" s="2">
        <v>65.637690000000006</v>
      </c>
      <c r="I209" s="2">
        <v>0.90256519999999996</v>
      </c>
      <c r="J209" s="2">
        <v>66.124489999999994</v>
      </c>
      <c r="K209" s="1">
        <f t="shared" si="324"/>
        <v>-0.95720079999999996</v>
      </c>
      <c r="L209" s="1">
        <v>0</v>
      </c>
      <c r="O209" s="2">
        <v>68.055760000000006</v>
      </c>
      <c r="P209" s="2">
        <v>0.8681719</v>
      </c>
      <c r="Q209" s="2">
        <v>65.96763</v>
      </c>
      <c r="R209" s="2">
        <v>72.51182</v>
      </c>
      <c r="S209" s="2">
        <v>0.81489239999999996</v>
      </c>
      <c r="T209" s="1">
        <v>65.692570000000003</v>
      </c>
      <c r="U209" s="1">
        <f t="shared" si="325"/>
        <v>-0.8681719</v>
      </c>
      <c r="V209" s="1">
        <f t="shared" si="326"/>
        <v>9.0559799999999968E-2</v>
      </c>
      <c r="Y209" s="2">
        <v>81.226299999999995</v>
      </c>
      <c r="Z209" s="2">
        <v>0.72897339999999999</v>
      </c>
      <c r="AA209" s="2">
        <v>65.200310000000002</v>
      </c>
      <c r="AB209" s="2">
        <v>87.253479999999996</v>
      </c>
      <c r="AC209" s="2">
        <v>0.67867509999999998</v>
      </c>
      <c r="AD209" s="1">
        <v>64.88982</v>
      </c>
      <c r="AE209" s="1">
        <f t="shared" si="327"/>
        <v>-0.72897339999999999</v>
      </c>
      <c r="AF209" s="1">
        <f t="shared" si="328"/>
        <v>0.22975829999999997</v>
      </c>
      <c r="AI209" s="2">
        <v>96.863069999999993</v>
      </c>
      <c r="AJ209" s="2">
        <v>0.60678730000000003</v>
      </c>
      <c r="AK209" s="2">
        <v>64.436580000000006</v>
      </c>
      <c r="AL209" s="2">
        <v>105.0055</v>
      </c>
      <c r="AM209" s="2">
        <v>0.55977889999999997</v>
      </c>
      <c r="AN209" s="2">
        <v>64.086380000000005</v>
      </c>
      <c r="AO209" s="1">
        <f t="shared" si="329"/>
        <v>-0.60678730000000003</v>
      </c>
      <c r="AP209" s="1">
        <f t="shared" si="330"/>
        <v>0.35194439999999994</v>
      </c>
      <c r="AX209" s="1"/>
      <c r="AY209" s="1">
        <f t="shared" si="331"/>
        <v>0</v>
      </c>
      <c r="AZ209" s="1">
        <f t="shared" si="332"/>
        <v>0.95873169999999996</v>
      </c>
    </row>
    <row r="210" spans="1:52" x14ac:dyDescent="0.3">
      <c r="A210" s="2" t="s">
        <v>16</v>
      </c>
      <c r="E210" s="2">
        <v>61.885559999999998</v>
      </c>
      <c r="F210" s="2">
        <v>0.95644589999999996</v>
      </c>
      <c r="G210" s="2">
        <v>67.376310000000004</v>
      </c>
      <c r="H210" s="2">
        <v>65.637690000000006</v>
      </c>
      <c r="I210" s="2">
        <v>0.90189399999999997</v>
      </c>
      <c r="J210" s="2">
        <v>67.121260000000007</v>
      </c>
      <c r="K210" s="1">
        <f t="shared" si="324"/>
        <v>-0.95644589999999996</v>
      </c>
      <c r="L210" s="1">
        <v>0</v>
      </c>
      <c r="O210" s="2">
        <v>68.055760000000006</v>
      </c>
      <c r="P210" s="2">
        <v>0.86755079999999996</v>
      </c>
      <c r="Q210" s="2">
        <v>66.964519999999993</v>
      </c>
      <c r="R210" s="2">
        <v>72.51182</v>
      </c>
      <c r="S210" s="2">
        <v>0.81434519999999999</v>
      </c>
      <c r="T210" s="1">
        <v>66.68965</v>
      </c>
      <c r="U210" s="1">
        <f t="shared" si="325"/>
        <v>-0.86755079999999996</v>
      </c>
      <c r="V210" s="1">
        <f t="shared" si="326"/>
        <v>9.1180900000000009E-2</v>
      </c>
      <c r="Y210" s="2">
        <v>81.226299999999995</v>
      </c>
      <c r="Z210" s="2">
        <v>0.72853540000000006</v>
      </c>
      <c r="AA210" s="2">
        <v>66.197699999999998</v>
      </c>
      <c r="AB210" s="2">
        <v>87.253479999999996</v>
      </c>
      <c r="AC210" s="2">
        <v>0.67829539999999999</v>
      </c>
      <c r="AD210" s="1">
        <v>65.887379999999993</v>
      </c>
      <c r="AE210" s="1">
        <f t="shared" si="327"/>
        <v>-0.72853540000000006</v>
      </c>
      <c r="AF210" s="1">
        <f t="shared" si="328"/>
        <v>0.23019629999999991</v>
      </c>
      <c r="AI210" s="2">
        <v>96.863069999999993</v>
      </c>
      <c r="AJ210" s="2">
        <v>0.60648380000000002</v>
      </c>
      <c r="AK210" s="2">
        <v>65.434399999999997</v>
      </c>
      <c r="AL210" s="2">
        <v>105.0055</v>
      </c>
      <c r="AM210" s="2">
        <v>0.55952069999999998</v>
      </c>
      <c r="AN210" s="2">
        <v>65.084370000000007</v>
      </c>
      <c r="AO210" s="1">
        <f t="shared" si="329"/>
        <v>-0.60648380000000002</v>
      </c>
      <c r="AP210" s="1">
        <f t="shared" si="330"/>
        <v>0.35224789999999995</v>
      </c>
      <c r="AX210" s="1"/>
      <c r="AY210" s="1">
        <f t="shared" si="331"/>
        <v>0</v>
      </c>
      <c r="AZ210" s="1">
        <f t="shared" si="332"/>
        <v>0.95873169999999996</v>
      </c>
    </row>
    <row r="211" spans="1:52" x14ac:dyDescent="0.3">
      <c r="A211" s="2" t="s">
        <v>25</v>
      </c>
      <c r="E211" s="2">
        <v>61.885559999999998</v>
      </c>
      <c r="F211" s="2">
        <v>0.95525369999999998</v>
      </c>
      <c r="G211" s="2">
        <v>68.370890000000003</v>
      </c>
      <c r="H211" s="2">
        <v>65.637690000000006</v>
      </c>
      <c r="I211" s="2">
        <v>0.90083369999999996</v>
      </c>
      <c r="J211" s="2">
        <v>68.116150000000005</v>
      </c>
      <c r="K211" s="1">
        <f t="shared" si="324"/>
        <v>-0.95525369999999998</v>
      </c>
      <c r="L211" s="1">
        <v>0</v>
      </c>
      <c r="O211" s="2">
        <v>68.731129999999993</v>
      </c>
      <c r="P211" s="2">
        <v>0.85808220000000002</v>
      </c>
      <c r="Q211" s="2">
        <v>67.916849999999997</v>
      </c>
      <c r="R211" s="2">
        <v>73.280069999999995</v>
      </c>
      <c r="S211" s="2">
        <v>0.80497839999999998</v>
      </c>
      <c r="T211" s="1">
        <v>67.639399999999995</v>
      </c>
      <c r="U211" s="1">
        <f t="shared" si="325"/>
        <v>-0.85808220000000002</v>
      </c>
      <c r="V211" s="1">
        <f t="shared" si="326"/>
        <v>0.10064949999999995</v>
      </c>
      <c r="Y211" s="2">
        <v>84.928139999999999</v>
      </c>
      <c r="Z211" s="2">
        <v>0.69620199999999999</v>
      </c>
      <c r="AA211" s="2">
        <v>67.000550000000004</v>
      </c>
      <c r="AB211" s="2">
        <v>91.550319999999999</v>
      </c>
      <c r="AC211" s="2">
        <v>0.64596640000000005</v>
      </c>
      <c r="AD211" s="1">
        <v>66.675290000000004</v>
      </c>
      <c r="AE211" s="1">
        <f t="shared" si="327"/>
        <v>-0.69620199999999999</v>
      </c>
      <c r="AF211" s="1">
        <f t="shared" si="328"/>
        <v>0.26252969999999998</v>
      </c>
      <c r="AI211" s="2">
        <v>104.6168</v>
      </c>
      <c r="AJ211" s="2">
        <v>0.56118539999999995</v>
      </c>
      <c r="AK211" s="2">
        <v>66.097269999999995</v>
      </c>
      <c r="AL211" s="2">
        <v>114.19450000000001</v>
      </c>
      <c r="AM211" s="2">
        <v>0.51420929999999998</v>
      </c>
      <c r="AN211" s="2">
        <v>65.717609999999993</v>
      </c>
      <c r="AO211" s="1">
        <f t="shared" si="329"/>
        <v>-0.56118539999999995</v>
      </c>
      <c r="AP211" s="1">
        <f t="shared" si="330"/>
        <v>0.39754630000000002</v>
      </c>
      <c r="AX211" s="1"/>
      <c r="AY211" s="1">
        <f t="shared" si="331"/>
        <v>0</v>
      </c>
      <c r="AZ211" s="1">
        <f t="shared" si="332"/>
        <v>0.95873169999999996</v>
      </c>
    </row>
    <row r="212" spans="1:52" x14ac:dyDescent="0.3">
      <c r="A212" s="2" t="s">
        <v>17</v>
      </c>
      <c r="E212" s="2">
        <v>64.886200000000002</v>
      </c>
      <c r="F212" s="2">
        <v>0.90990420000000005</v>
      </c>
      <c r="G212" s="2">
        <v>69.159670000000006</v>
      </c>
      <c r="H212" s="2">
        <v>69.02704</v>
      </c>
      <c r="I212" s="2">
        <v>0.855572</v>
      </c>
      <c r="J212" s="2">
        <v>68.892269999999996</v>
      </c>
      <c r="K212" s="1">
        <f t="shared" si="324"/>
        <v>-0.90990420000000005</v>
      </c>
      <c r="L212" s="1">
        <v>0</v>
      </c>
      <c r="O212" s="2">
        <v>72.778080000000003</v>
      </c>
      <c r="P212" s="2">
        <v>0.80946390000000001</v>
      </c>
      <c r="Q212" s="2">
        <v>68.663539999999998</v>
      </c>
      <c r="R212" s="2">
        <v>77.906809999999993</v>
      </c>
      <c r="S212" s="2">
        <v>0.75639290000000003</v>
      </c>
      <c r="T212" s="1">
        <v>68.369050000000001</v>
      </c>
      <c r="U212" s="1">
        <f t="shared" si="325"/>
        <v>-0.80946390000000001</v>
      </c>
      <c r="V212" s="1">
        <f t="shared" si="326"/>
        <v>0.14926779999999995</v>
      </c>
      <c r="Y212" s="2">
        <v>95.083370000000002</v>
      </c>
      <c r="Z212" s="2">
        <v>0.62140200000000001</v>
      </c>
      <c r="AA212" s="2">
        <v>67.506929999999997</v>
      </c>
      <c r="AB212" s="2">
        <v>103.5072</v>
      </c>
      <c r="AC212" s="2">
        <v>0.57098519999999997</v>
      </c>
      <c r="AD212" s="1">
        <v>67.139439999999993</v>
      </c>
      <c r="AE212" s="1">
        <f t="shared" si="327"/>
        <v>-0.62140200000000001</v>
      </c>
      <c r="AF212" s="1">
        <f t="shared" si="328"/>
        <v>0.33732969999999995</v>
      </c>
      <c r="AI212" s="2">
        <v>122.9706</v>
      </c>
      <c r="AJ212" s="2">
        <v>0.47721350000000001</v>
      </c>
      <c r="AK212" s="2">
        <v>66.393339999999995</v>
      </c>
      <c r="AL212" s="2">
        <v>136.51859999999999</v>
      </c>
      <c r="AM212" s="2">
        <v>0.42996479999999998</v>
      </c>
      <c r="AN212" s="2">
        <v>65.940539999999999</v>
      </c>
      <c r="AO212" s="1">
        <f t="shared" si="329"/>
        <v>-0.47721350000000001</v>
      </c>
      <c r="AP212" s="1">
        <f t="shared" si="330"/>
        <v>0.48151819999999995</v>
      </c>
      <c r="AX212" s="1"/>
      <c r="AY212" s="1">
        <f t="shared" si="331"/>
        <v>0</v>
      </c>
      <c r="AZ212" s="1">
        <f t="shared" si="332"/>
        <v>0.95873169999999996</v>
      </c>
    </row>
    <row r="213" spans="1:52" x14ac:dyDescent="0.3">
      <c r="A213" s="2" t="s">
        <v>18</v>
      </c>
      <c r="E213" s="2">
        <v>64.886200000000002</v>
      </c>
      <c r="F213" s="2">
        <v>0.9082422</v>
      </c>
      <c r="G213" s="2">
        <v>70.151719999999997</v>
      </c>
      <c r="H213" s="2">
        <v>69.02704</v>
      </c>
      <c r="I213" s="2">
        <v>0.85410240000000004</v>
      </c>
      <c r="J213" s="2">
        <v>69.884799999999998</v>
      </c>
      <c r="K213" s="1">
        <f t="shared" si="324"/>
        <v>-0.9082422</v>
      </c>
      <c r="L213" s="1">
        <v>0</v>
      </c>
      <c r="O213" s="2">
        <v>73.791420000000002</v>
      </c>
      <c r="P213" s="2">
        <v>0.79711600000000005</v>
      </c>
      <c r="Q213" s="2">
        <v>69.596779999999995</v>
      </c>
      <c r="R213" s="2">
        <v>79.070359999999994</v>
      </c>
      <c r="S213" s="2">
        <v>0.74419159999999995</v>
      </c>
      <c r="T213" s="1">
        <v>69.298410000000004</v>
      </c>
      <c r="U213" s="1">
        <f t="shared" si="325"/>
        <v>-0.79711600000000005</v>
      </c>
      <c r="V213" s="1">
        <f t="shared" si="326"/>
        <v>0.16161569999999992</v>
      </c>
      <c r="Y213" s="2">
        <v>100.6337</v>
      </c>
      <c r="Z213" s="2">
        <v>0.58654539999999999</v>
      </c>
      <c r="AA213" s="2">
        <v>68.256209999999996</v>
      </c>
      <c r="AB213" s="2">
        <v>110.13639999999999</v>
      </c>
      <c r="AC213" s="2">
        <v>0.536138</v>
      </c>
      <c r="AD213" s="1">
        <v>67.865960000000001</v>
      </c>
      <c r="AE213" s="1">
        <f t="shared" si="327"/>
        <v>-0.58654539999999999</v>
      </c>
      <c r="AF213" s="1">
        <f t="shared" si="328"/>
        <v>0.37218629999999997</v>
      </c>
      <c r="AI213" s="2">
        <v>134.6019</v>
      </c>
      <c r="AJ213" s="2">
        <v>0.43569099999999999</v>
      </c>
      <c r="AK213" s="2">
        <v>66.997990000000001</v>
      </c>
      <c r="AL213" s="2">
        <v>151.0633</v>
      </c>
      <c r="AM213" s="2">
        <v>0.38835019999999998</v>
      </c>
      <c r="AN213" s="2">
        <v>66.498440000000002</v>
      </c>
      <c r="AO213" s="1">
        <f t="shared" si="329"/>
        <v>-0.43569099999999999</v>
      </c>
      <c r="AP213" s="1">
        <f t="shared" si="330"/>
        <v>0.52304069999999991</v>
      </c>
      <c r="AX213" s="1"/>
      <c r="AY213" s="1">
        <f t="shared" si="331"/>
        <v>0</v>
      </c>
      <c r="AZ213" s="1">
        <f t="shared" si="332"/>
        <v>0.95873169999999996</v>
      </c>
    </row>
    <row r="214" spans="1:52" x14ac:dyDescent="0.3">
      <c r="A214" s="2" t="s">
        <v>19</v>
      </c>
      <c r="E214" s="2">
        <v>64.886200000000002</v>
      </c>
      <c r="F214" s="2">
        <v>0.90622440000000004</v>
      </c>
      <c r="G214" s="2">
        <v>71.142060000000001</v>
      </c>
      <c r="H214" s="2">
        <v>69.02704</v>
      </c>
      <c r="I214" s="2">
        <v>0.85231780000000001</v>
      </c>
      <c r="J214" s="2">
        <v>70.875720000000001</v>
      </c>
      <c r="K214" s="1">
        <f t="shared" si="324"/>
        <v>-0.90622440000000004</v>
      </c>
      <c r="L214" s="1">
        <v>0</v>
      </c>
      <c r="O214" s="2">
        <v>74.264089999999996</v>
      </c>
      <c r="P214" s="2">
        <v>0.79053720000000005</v>
      </c>
      <c r="Q214" s="2">
        <v>70.560789999999997</v>
      </c>
      <c r="R214" s="2">
        <v>79.614540000000005</v>
      </c>
      <c r="S214" s="2">
        <v>0.7377958</v>
      </c>
      <c r="T214" s="1">
        <v>70.260930000000002</v>
      </c>
      <c r="U214" s="1">
        <f t="shared" si="325"/>
        <v>-0.79053720000000005</v>
      </c>
      <c r="V214" s="1">
        <f t="shared" si="326"/>
        <v>0.16819449999999991</v>
      </c>
      <c r="Y214" s="2">
        <v>103.2268</v>
      </c>
      <c r="Z214" s="2">
        <v>0.57107289999999999</v>
      </c>
      <c r="AA214" s="2">
        <v>69.140110000000007</v>
      </c>
      <c r="AB214" s="2">
        <v>113.2586</v>
      </c>
      <c r="AC214" s="2">
        <v>0.52074969999999998</v>
      </c>
      <c r="AD214" s="1">
        <v>68.739490000000004</v>
      </c>
      <c r="AE214" s="1">
        <f t="shared" si="327"/>
        <v>-0.57107289999999999</v>
      </c>
      <c r="AF214" s="1">
        <f t="shared" si="328"/>
        <v>0.38765879999999997</v>
      </c>
      <c r="AI214" s="2">
        <v>140.029</v>
      </c>
      <c r="AJ214" s="2">
        <v>0.41842770000000001</v>
      </c>
      <c r="AK214" s="2">
        <v>67.822419999999994</v>
      </c>
      <c r="AL214" s="2">
        <v>157.97550000000001</v>
      </c>
      <c r="AM214" s="2">
        <v>0.37106679999999997</v>
      </c>
      <c r="AN214" s="2">
        <v>67.300740000000005</v>
      </c>
      <c r="AO214" s="1">
        <f t="shared" si="329"/>
        <v>-0.41842770000000001</v>
      </c>
      <c r="AP214" s="1">
        <f t="shared" si="330"/>
        <v>0.5403039999999999</v>
      </c>
      <c r="AX214" s="1"/>
      <c r="AY214" s="1">
        <f t="shared" si="331"/>
        <v>0</v>
      </c>
      <c r="AZ214" s="1">
        <f t="shared" si="332"/>
        <v>0.95873169999999996</v>
      </c>
    </row>
    <row r="215" spans="1:52" x14ac:dyDescent="0.3">
      <c r="A215" s="2" t="s">
        <v>20</v>
      </c>
      <c r="E215" s="2">
        <v>103.3588</v>
      </c>
      <c r="F215" s="2">
        <v>0.56989259999999997</v>
      </c>
      <c r="G215" s="2">
        <v>70.127629999999996</v>
      </c>
      <c r="H215" s="2">
        <v>114.4448</v>
      </c>
      <c r="I215" s="2">
        <v>0.51504830000000001</v>
      </c>
      <c r="J215" s="2">
        <v>69.688180000000003</v>
      </c>
      <c r="K215" s="1">
        <f t="shared" si="324"/>
        <v>-0.56989259999999997</v>
      </c>
      <c r="L215" s="1">
        <v>0</v>
      </c>
      <c r="O215" s="2">
        <v>112.5089</v>
      </c>
      <c r="P215" s="2">
        <v>0.52243240000000002</v>
      </c>
      <c r="Q215" s="2">
        <v>69.761859999999999</v>
      </c>
      <c r="R215" s="2">
        <v>125.4508</v>
      </c>
      <c r="S215" s="2">
        <v>0.46885650000000001</v>
      </c>
      <c r="T215" s="1">
        <v>69.291960000000003</v>
      </c>
      <c r="U215" s="1">
        <f t="shared" si="325"/>
        <v>-0.52243240000000002</v>
      </c>
      <c r="V215" s="1">
        <f t="shared" si="326"/>
        <v>0.43629929999999995</v>
      </c>
      <c r="Y215" s="2">
        <v>142.58359999999999</v>
      </c>
      <c r="Z215" s="2">
        <v>0.41360530000000001</v>
      </c>
      <c r="AA215" s="2">
        <v>68.739050000000006</v>
      </c>
      <c r="AB215" s="2">
        <v>162.75139999999999</v>
      </c>
      <c r="AC215" s="2">
        <v>0.3625873</v>
      </c>
      <c r="AD215" s="1">
        <v>68.167310000000001</v>
      </c>
      <c r="AE215" s="1">
        <f t="shared" si="327"/>
        <v>-0.41360530000000001</v>
      </c>
      <c r="AF215" s="1">
        <f t="shared" si="328"/>
        <v>0.54512640000000001</v>
      </c>
      <c r="AI215" s="2">
        <v>180.2569</v>
      </c>
      <c r="AJ215" s="2">
        <v>0.32505060000000002</v>
      </c>
      <c r="AK215" s="2">
        <v>67.725719999999995</v>
      </c>
      <c r="AL215" s="2">
        <v>211.61259999999999</v>
      </c>
      <c r="AM215" s="2">
        <v>0.277055</v>
      </c>
      <c r="AN215" s="2">
        <v>67.031869999999998</v>
      </c>
      <c r="AO215" s="1">
        <f t="shared" si="329"/>
        <v>-0.32505060000000002</v>
      </c>
      <c r="AP215" s="1">
        <f t="shared" si="330"/>
        <v>0.6336811</v>
      </c>
      <c r="AX215" s="1"/>
      <c r="AY215" s="1">
        <f t="shared" si="331"/>
        <v>0</v>
      </c>
      <c r="AZ215" s="1">
        <f t="shared" si="332"/>
        <v>0.95873169999999996</v>
      </c>
    </row>
    <row r="216" spans="1:52" x14ac:dyDescent="0.3">
      <c r="A216" s="2" t="s">
        <v>21</v>
      </c>
      <c r="E216" s="2">
        <v>103.3588</v>
      </c>
      <c r="F216" s="2">
        <v>0.56899619999999995</v>
      </c>
      <c r="G216" s="2">
        <v>71.120800000000003</v>
      </c>
      <c r="H216" s="2">
        <v>114.4448</v>
      </c>
      <c r="I216" s="2">
        <v>0.514316</v>
      </c>
      <c r="J216" s="2">
        <v>70.682010000000005</v>
      </c>
      <c r="K216" s="1">
        <f t="shared" si="324"/>
        <v>-0.56899619999999995</v>
      </c>
      <c r="L216" s="1">
        <v>0</v>
      </c>
      <c r="O216" s="2">
        <v>112.8468</v>
      </c>
      <c r="P216" s="2">
        <v>0.52012959999999997</v>
      </c>
      <c r="Q216" s="2">
        <v>70.742679999999993</v>
      </c>
      <c r="R216" s="2">
        <v>125.87260000000001</v>
      </c>
      <c r="S216" s="2">
        <v>0.46669149999999998</v>
      </c>
      <c r="T216" s="1">
        <v>70.271870000000007</v>
      </c>
      <c r="U216" s="1">
        <f t="shared" si="325"/>
        <v>-0.52012959999999997</v>
      </c>
      <c r="V216" s="1">
        <f t="shared" si="326"/>
        <v>0.43860209999999999</v>
      </c>
      <c r="Y216" s="2">
        <v>144.42850000000001</v>
      </c>
      <c r="Z216" s="2">
        <v>0.4078888</v>
      </c>
      <c r="AA216" s="2">
        <v>69.678610000000006</v>
      </c>
      <c r="AB216" s="2">
        <v>165.18790000000001</v>
      </c>
      <c r="AC216" s="2">
        <v>0.35691099999999998</v>
      </c>
      <c r="AD216" s="1">
        <v>69.098789999999994</v>
      </c>
      <c r="AE216" s="1">
        <f t="shared" si="327"/>
        <v>-0.4078888</v>
      </c>
      <c r="AF216" s="1">
        <f t="shared" si="328"/>
        <v>0.55084289999999991</v>
      </c>
      <c r="AI216" s="2">
        <v>184.12899999999999</v>
      </c>
      <c r="AJ216" s="2">
        <v>0.31796269999999999</v>
      </c>
      <c r="AK216" s="2">
        <v>68.62997</v>
      </c>
      <c r="AL216" s="2">
        <v>217.01300000000001</v>
      </c>
      <c r="AM216" s="2">
        <v>0.26998230000000001</v>
      </c>
      <c r="AN216" s="2">
        <v>67.919560000000004</v>
      </c>
      <c r="AO216" s="1">
        <f t="shared" si="329"/>
        <v>-0.31796269999999999</v>
      </c>
      <c r="AP216" s="1">
        <f t="shared" si="330"/>
        <v>0.64076899999999992</v>
      </c>
      <c r="AX216" s="1"/>
      <c r="AY216" s="1">
        <f t="shared" si="331"/>
        <v>0</v>
      </c>
      <c r="AZ216" s="1">
        <f t="shared" si="332"/>
        <v>0.95873169999999996</v>
      </c>
    </row>
    <row r="217" spans="1:52" x14ac:dyDescent="0.3">
      <c r="A217" s="2" t="s">
        <v>22</v>
      </c>
      <c r="E217" s="2">
        <v>103.3588</v>
      </c>
      <c r="F217" s="2">
        <v>0.56801040000000003</v>
      </c>
      <c r="G217" s="2">
        <v>72.11327</v>
      </c>
      <c r="H217" s="2">
        <v>114.4448</v>
      </c>
      <c r="I217" s="2">
        <v>0.51351040000000003</v>
      </c>
      <c r="J217" s="2">
        <v>71.675200000000004</v>
      </c>
      <c r="K217" s="1">
        <f t="shared" si="324"/>
        <v>-0.56801040000000003</v>
      </c>
      <c r="L217" s="1">
        <v>0</v>
      </c>
      <c r="O217" s="2">
        <v>112.8468</v>
      </c>
      <c r="P217" s="2">
        <v>0.51930569999999998</v>
      </c>
      <c r="Q217" s="2">
        <v>71.735799999999998</v>
      </c>
      <c r="R217" s="2">
        <v>125.87260000000001</v>
      </c>
      <c r="S217" s="2">
        <v>0.4660282</v>
      </c>
      <c r="T217" s="1">
        <v>71.265690000000006</v>
      </c>
      <c r="U217" s="1">
        <f t="shared" si="325"/>
        <v>-0.51930569999999998</v>
      </c>
      <c r="V217" s="1">
        <f t="shared" si="326"/>
        <v>0.43942599999999998</v>
      </c>
      <c r="Y217" s="2">
        <v>144.42850000000001</v>
      </c>
      <c r="Z217" s="2">
        <v>0.40738200000000002</v>
      </c>
      <c r="AA217" s="2">
        <v>70.673220000000001</v>
      </c>
      <c r="AB217" s="2">
        <v>165.18790000000001</v>
      </c>
      <c r="AC217" s="2">
        <v>0.35652289999999998</v>
      </c>
      <c r="AD217" s="1">
        <v>70.094070000000002</v>
      </c>
      <c r="AE217" s="1">
        <f t="shared" si="327"/>
        <v>-0.40738200000000002</v>
      </c>
      <c r="AF217" s="1">
        <f t="shared" si="328"/>
        <v>0.55134969999999994</v>
      </c>
      <c r="AI217" s="2">
        <v>184.12899999999999</v>
      </c>
      <c r="AJ217" s="2">
        <v>0.31765470000000001</v>
      </c>
      <c r="AK217" s="2">
        <v>69.625770000000003</v>
      </c>
      <c r="AL217" s="2">
        <v>217.01300000000001</v>
      </c>
      <c r="AM217" s="2">
        <v>0.2697601</v>
      </c>
      <c r="AN217" s="2">
        <v>68.915989999999994</v>
      </c>
      <c r="AO217" s="1">
        <f t="shared" si="329"/>
        <v>-0.31765470000000001</v>
      </c>
      <c r="AP217" s="1">
        <f t="shared" si="330"/>
        <v>0.6410769999999999</v>
      </c>
      <c r="AX217" s="1"/>
      <c r="AY217" s="1">
        <f t="shared" si="331"/>
        <v>0</v>
      </c>
      <c r="AZ217" s="1">
        <f t="shared" si="332"/>
        <v>0.95873169999999996</v>
      </c>
    </row>
    <row r="218" spans="1:52" x14ac:dyDescent="0.3">
      <c r="A218" s="2" t="s">
        <v>23</v>
      </c>
      <c r="E218" s="2">
        <v>86.461920000000006</v>
      </c>
      <c r="F218" s="2">
        <v>0.67597039999999997</v>
      </c>
      <c r="G218" s="2">
        <v>73.868979999999993</v>
      </c>
      <c r="H218" s="2">
        <v>94.035790000000006</v>
      </c>
      <c r="I218" s="2">
        <v>0.6222742</v>
      </c>
      <c r="J218" s="2">
        <v>73.509519999999995</v>
      </c>
      <c r="K218" s="1">
        <f t="shared" si="324"/>
        <v>-0.67597039999999997</v>
      </c>
      <c r="L218" s="1">
        <v>0</v>
      </c>
      <c r="O218" s="2">
        <v>95.943110000000004</v>
      </c>
      <c r="P218" s="2">
        <v>0.60842870000000004</v>
      </c>
      <c r="Q218" s="2">
        <v>73.423659999999998</v>
      </c>
      <c r="R218" s="2">
        <v>105.13890000000001</v>
      </c>
      <c r="S218" s="2">
        <v>0.55586650000000004</v>
      </c>
      <c r="T218" s="1">
        <v>73.031270000000006</v>
      </c>
      <c r="U218" s="1">
        <f t="shared" si="325"/>
        <v>-0.60842870000000004</v>
      </c>
      <c r="V218" s="1">
        <f t="shared" si="326"/>
        <v>0.35030299999999992</v>
      </c>
      <c r="Y218" s="2">
        <v>127.2533</v>
      </c>
      <c r="Z218" s="2">
        <v>0.46112720000000001</v>
      </c>
      <c r="AA218" s="2">
        <v>72.211399999999998</v>
      </c>
      <c r="AB218" s="2">
        <v>142.98740000000001</v>
      </c>
      <c r="AC218" s="2">
        <v>0.41084609999999999</v>
      </c>
      <c r="AD218" s="1">
        <v>71.709980000000002</v>
      </c>
      <c r="AE218" s="1">
        <f t="shared" si="327"/>
        <v>-0.46112720000000001</v>
      </c>
      <c r="AF218" s="1">
        <f t="shared" si="328"/>
        <v>0.49760449999999995</v>
      </c>
      <c r="AI218" s="2">
        <v>167.00460000000001</v>
      </c>
      <c r="AJ218" s="2">
        <v>0.349574</v>
      </c>
      <c r="AK218" s="2">
        <v>71.041600000000003</v>
      </c>
      <c r="AL218" s="2">
        <v>193.4401</v>
      </c>
      <c r="AM218" s="2">
        <v>0.3021199</v>
      </c>
      <c r="AN218" s="2">
        <v>70.408000000000001</v>
      </c>
      <c r="AO218" s="1">
        <f t="shared" si="329"/>
        <v>-0.349574</v>
      </c>
      <c r="AP218" s="1">
        <f t="shared" si="330"/>
        <v>0.60915769999999991</v>
      </c>
      <c r="AX218" s="1"/>
      <c r="AY218" s="1">
        <f t="shared" si="331"/>
        <v>0</v>
      </c>
      <c r="AZ218" s="1">
        <f t="shared" si="332"/>
        <v>0.95873169999999996</v>
      </c>
    </row>
    <row r="219" spans="1:52" x14ac:dyDescent="0.3">
      <c r="A219" s="2" t="s">
        <v>13</v>
      </c>
      <c r="E219" s="2">
        <v>86.461920000000006</v>
      </c>
      <c r="F219" s="2">
        <v>0.67401920000000004</v>
      </c>
      <c r="G219" s="2">
        <v>74.856430000000003</v>
      </c>
      <c r="H219" s="2">
        <v>94.035790000000006</v>
      </c>
      <c r="I219" s="2">
        <v>0.62062030000000001</v>
      </c>
      <c r="J219" s="2">
        <v>74.497969999999995</v>
      </c>
      <c r="K219" s="1">
        <f t="shared" si="324"/>
        <v>-0.67401920000000004</v>
      </c>
      <c r="L219" s="1">
        <v>0</v>
      </c>
      <c r="O219" s="2">
        <v>95.807839999999999</v>
      </c>
      <c r="P219" s="2">
        <v>0.60769050000000002</v>
      </c>
      <c r="Q219" s="2">
        <v>74.418400000000005</v>
      </c>
      <c r="R219" s="2">
        <v>104.97620000000001</v>
      </c>
      <c r="S219" s="2">
        <v>0.55539360000000004</v>
      </c>
      <c r="T219" s="1">
        <v>74.027569999999997</v>
      </c>
      <c r="U219" s="1">
        <f t="shared" si="325"/>
        <v>-0.60769050000000002</v>
      </c>
      <c r="V219" s="1">
        <f t="shared" si="326"/>
        <v>0.35104119999999994</v>
      </c>
      <c r="Y219" s="2">
        <v>126.515</v>
      </c>
      <c r="Z219" s="2">
        <v>0.46287129999999999</v>
      </c>
      <c r="AA219" s="2">
        <v>73.227800000000002</v>
      </c>
      <c r="AB219" s="2">
        <v>142.05000000000001</v>
      </c>
      <c r="AC219" s="2">
        <v>0.41280119999999998</v>
      </c>
      <c r="AD219" s="1">
        <v>72.730609999999999</v>
      </c>
      <c r="AE219" s="1">
        <f t="shared" si="327"/>
        <v>-0.46287129999999999</v>
      </c>
      <c r="AF219" s="1">
        <f t="shared" si="328"/>
        <v>0.49586039999999998</v>
      </c>
      <c r="AI219" s="2">
        <v>165.45930000000001</v>
      </c>
      <c r="AJ219" s="2">
        <v>0.35228110000000001</v>
      </c>
      <c r="AK219" s="2">
        <v>72.075109999999995</v>
      </c>
      <c r="AL219" s="2">
        <v>191.35839999999999</v>
      </c>
      <c r="AM219" s="2">
        <v>0.30498550000000002</v>
      </c>
      <c r="AN219" s="2">
        <v>71.449010000000001</v>
      </c>
      <c r="AO219" s="1">
        <f t="shared" si="329"/>
        <v>-0.35228110000000001</v>
      </c>
      <c r="AP219" s="1">
        <f t="shared" si="330"/>
        <v>0.60645059999999995</v>
      </c>
      <c r="AX219" s="1"/>
      <c r="AY219" s="1">
        <f t="shared" si="331"/>
        <v>0</v>
      </c>
      <c r="AZ219" s="1">
        <f t="shared" si="332"/>
        <v>0.95873169999999996</v>
      </c>
    </row>
    <row r="220" spans="1:52" x14ac:dyDescent="0.3">
      <c r="A220" s="2" t="s">
        <v>14</v>
      </c>
      <c r="E220" s="2">
        <v>86.461920000000006</v>
      </c>
      <c r="F220" s="2">
        <v>0.67134210000000005</v>
      </c>
      <c r="G220" s="2">
        <v>75.83914</v>
      </c>
      <c r="H220" s="2">
        <v>94.035790000000006</v>
      </c>
      <c r="I220" s="2">
        <v>0.61834979999999995</v>
      </c>
      <c r="J220" s="2">
        <v>75.482039999999998</v>
      </c>
      <c r="K220" s="1">
        <f t="shared" si="324"/>
        <v>-0.67134210000000005</v>
      </c>
      <c r="L220" s="1">
        <v>0</v>
      </c>
      <c r="O220" s="2">
        <v>95.807839999999999</v>
      </c>
      <c r="P220" s="2">
        <v>0.60551350000000004</v>
      </c>
      <c r="Q220" s="2">
        <v>75.402799999999999</v>
      </c>
      <c r="R220" s="2">
        <v>104.97620000000001</v>
      </c>
      <c r="S220" s="2">
        <v>0.55357460000000003</v>
      </c>
      <c r="T220" s="1">
        <v>75.013319999999993</v>
      </c>
      <c r="U220" s="1">
        <f t="shared" si="325"/>
        <v>-0.60551350000000004</v>
      </c>
      <c r="V220" s="1">
        <f t="shared" si="326"/>
        <v>0.35321819999999993</v>
      </c>
      <c r="Y220" s="2">
        <v>126.515</v>
      </c>
      <c r="Z220" s="2">
        <v>0.4616072</v>
      </c>
      <c r="AA220" s="2">
        <v>74.215919999999997</v>
      </c>
      <c r="AB220" s="2">
        <v>142.05000000000001</v>
      </c>
      <c r="AC220" s="2">
        <v>0.41179549999999998</v>
      </c>
      <c r="AD220" s="1">
        <v>73.720010000000002</v>
      </c>
      <c r="AE220" s="1">
        <f t="shared" si="327"/>
        <v>-0.4616072</v>
      </c>
      <c r="AF220" s="1">
        <f t="shared" si="328"/>
        <v>0.49712449999999997</v>
      </c>
      <c r="AI220" s="2">
        <v>165.45930000000001</v>
      </c>
      <c r="AJ220" s="2">
        <v>0.35154839999999998</v>
      </c>
      <c r="AK220" s="2">
        <v>73.066059999999993</v>
      </c>
      <c r="AL220" s="2">
        <v>191.35839999999999</v>
      </c>
      <c r="AM220" s="2">
        <v>0.30443619999999999</v>
      </c>
      <c r="AN220" s="2">
        <v>72.44117</v>
      </c>
      <c r="AO220" s="1">
        <f t="shared" si="329"/>
        <v>-0.35154839999999998</v>
      </c>
      <c r="AP220" s="1">
        <f t="shared" si="330"/>
        <v>0.60718329999999998</v>
      </c>
      <c r="AX220" s="1"/>
      <c r="AY220" s="1">
        <f t="shared" si="331"/>
        <v>0</v>
      </c>
      <c r="AZ220" s="1">
        <f t="shared" si="332"/>
        <v>0.95873169999999996</v>
      </c>
    </row>
    <row r="221" spans="1:52" x14ac:dyDescent="0.3">
      <c r="A221" s="2" t="s">
        <v>26</v>
      </c>
      <c r="E221" s="2">
        <v>88.237780000000001</v>
      </c>
      <c r="F221" s="2">
        <v>0.65388749999999995</v>
      </c>
      <c r="G221" s="2">
        <v>76.724729999999994</v>
      </c>
      <c r="H221" s="2">
        <v>96.144990000000007</v>
      </c>
      <c r="I221" s="2">
        <v>0.60147209999999995</v>
      </c>
      <c r="J221" s="2">
        <v>76.361859999999993</v>
      </c>
      <c r="K221" s="1">
        <f t="shared" si="324"/>
        <v>-0.65388749999999995</v>
      </c>
      <c r="L221" s="1">
        <v>0</v>
      </c>
      <c r="O221" s="2">
        <v>97.537229999999994</v>
      </c>
      <c r="P221" s="2">
        <v>0.59152380000000004</v>
      </c>
      <c r="Q221" s="2">
        <v>76.301280000000006</v>
      </c>
      <c r="R221" s="2">
        <v>107.06140000000001</v>
      </c>
      <c r="S221" s="2">
        <v>0.54009879999999999</v>
      </c>
      <c r="T221" s="1">
        <v>75.906300000000002</v>
      </c>
      <c r="U221" s="1">
        <f t="shared" si="325"/>
        <v>-0.59152380000000004</v>
      </c>
      <c r="V221" s="1">
        <f t="shared" si="326"/>
        <v>0.36720789999999992</v>
      </c>
      <c r="Y221" s="2">
        <v>128.2473</v>
      </c>
      <c r="Z221" s="2">
        <v>0.4534337</v>
      </c>
      <c r="AA221" s="2">
        <v>75.138329999999996</v>
      </c>
      <c r="AB221" s="2">
        <v>144.23349999999999</v>
      </c>
      <c r="AC221" s="2">
        <v>0.40403210000000001</v>
      </c>
      <c r="AD221" s="1">
        <v>74.637349999999998</v>
      </c>
      <c r="AE221" s="1">
        <f t="shared" si="327"/>
        <v>-0.4534337</v>
      </c>
      <c r="AF221" s="1">
        <f t="shared" si="328"/>
        <v>0.50529800000000002</v>
      </c>
      <c r="AI221" s="2">
        <v>167.1063</v>
      </c>
      <c r="AJ221" s="2">
        <v>0.3469351</v>
      </c>
      <c r="AK221" s="2">
        <v>74.008700000000005</v>
      </c>
      <c r="AL221" s="2">
        <v>193.571</v>
      </c>
      <c r="AM221" s="2">
        <v>0.30010209999999998</v>
      </c>
      <c r="AN221" s="2">
        <v>73.378900000000002</v>
      </c>
      <c r="AO221" s="1">
        <f t="shared" si="329"/>
        <v>-0.3469351</v>
      </c>
      <c r="AP221" s="1">
        <f t="shared" si="330"/>
        <v>0.61179659999999991</v>
      </c>
      <c r="AX221" s="1"/>
      <c r="AY221" s="1">
        <f t="shared" si="331"/>
        <v>0</v>
      </c>
      <c r="AZ221" s="1">
        <f t="shared" si="332"/>
        <v>0.95873169999999996</v>
      </c>
    </row>
    <row r="222" spans="1:52" x14ac:dyDescent="0.3">
      <c r="A222" s="2" t="s">
        <v>24</v>
      </c>
      <c r="E222" s="2">
        <v>88.237780000000001</v>
      </c>
      <c r="F222" s="2">
        <v>0.64805170000000001</v>
      </c>
      <c r="G222" s="2">
        <v>77.685810000000004</v>
      </c>
      <c r="H222" s="2">
        <v>96.144990000000007</v>
      </c>
      <c r="I222" s="2">
        <v>0.59653089999999998</v>
      </c>
      <c r="J222" s="2">
        <v>77.326030000000003</v>
      </c>
      <c r="K222" s="1">
        <f t="shared" si="324"/>
        <v>-0.64805170000000001</v>
      </c>
      <c r="L222" s="1">
        <v>0</v>
      </c>
      <c r="O222" s="2">
        <v>97.604770000000002</v>
      </c>
      <c r="P222" s="2">
        <v>0.58635130000000002</v>
      </c>
      <c r="Q222" s="2">
        <v>77.263149999999996</v>
      </c>
      <c r="R222" s="2">
        <v>107.1431</v>
      </c>
      <c r="S222" s="2">
        <v>0.53571449999999998</v>
      </c>
      <c r="T222" s="1">
        <v>76.870900000000006</v>
      </c>
      <c r="U222" s="1">
        <f t="shared" si="325"/>
        <v>-0.58635130000000002</v>
      </c>
      <c r="V222" s="1">
        <f t="shared" si="326"/>
        <v>0.37238039999999994</v>
      </c>
      <c r="Y222" s="2">
        <v>128.61160000000001</v>
      </c>
      <c r="Z222" s="2">
        <v>0.44937529999999998</v>
      </c>
      <c r="AA222" s="2">
        <v>76.099289999999996</v>
      </c>
      <c r="AB222" s="2">
        <v>144.7021</v>
      </c>
      <c r="AC222" s="2">
        <v>0.4005243</v>
      </c>
      <c r="AD222" s="1">
        <v>75.599490000000003</v>
      </c>
      <c r="AE222" s="1">
        <f t="shared" si="327"/>
        <v>-0.44937529999999998</v>
      </c>
      <c r="AF222" s="1">
        <f t="shared" si="328"/>
        <v>0.50935639999999993</v>
      </c>
      <c r="AI222" s="2">
        <v>167.87479999999999</v>
      </c>
      <c r="AJ222" s="2">
        <v>0.34373520000000002</v>
      </c>
      <c r="AK222" s="2">
        <v>74.968459999999993</v>
      </c>
      <c r="AL222" s="2">
        <v>194.61779999999999</v>
      </c>
      <c r="AM222" s="2">
        <v>0.2972862</v>
      </c>
      <c r="AN222" s="2">
        <v>74.337969999999999</v>
      </c>
      <c r="AO222" s="1">
        <f t="shared" si="329"/>
        <v>-0.34373520000000002</v>
      </c>
      <c r="AP222" s="1">
        <f t="shared" si="330"/>
        <v>0.61499649999999995</v>
      </c>
      <c r="AX222" s="1"/>
      <c r="AY222" s="1">
        <f t="shared" si="331"/>
        <v>0</v>
      </c>
      <c r="AZ222" s="1">
        <f t="shared" si="332"/>
        <v>0.95873169999999996</v>
      </c>
    </row>
    <row r="223" spans="1:52" x14ac:dyDescent="0.3">
      <c r="A223" s="2" t="s">
        <v>27</v>
      </c>
      <c r="E223" s="2">
        <v>88.237780000000001</v>
      </c>
      <c r="F223" s="2">
        <v>0.63926260000000001</v>
      </c>
      <c r="G223" s="2">
        <v>78.626499999999993</v>
      </c>
      <c r="H223" s="2">
        <v>96.144990000000007</v>
      </c>
      <c r="I223" s="2">
        <v>0.58907560000000003</v>
      </c>
      <c r="J223" s="2">
        <v>78.271420000000006</v>
      </c>
      <c r="K223" s="1">
        <f t="shared" si="324"/>
        <v>-0.63926260000000001</v>
      </c>
      <c r="L223" s="1">
        <v>0</v>
      </c>
      <c r="O223" s="2">
        <v>97.412379999999999</v>
      </c>
      <c r="P223" s="2">
        <v>0.58023950000000002</v>
      </c>
      <c r="Q223" s="2">
        <v>78.217640000000003</v>
      </c>
      <c r="R223" s="2">
        <v>106.91030000000001</v>
      </c>
      <c r="S223" s="2">
        <v>0.53080020000000006</v>
      </c>
      <c r="T223" s="1">
        <v>77.830870000000004</v>
      </c>
      <c r="U223" s="1">
        <f t="shared" si="325"/>
        <v>-0.58023950000000002</v>
      </c>
      <c r="V223" s="1">
        <f t="shared" si="326"/>
        <v>0.37849219999999995</v>
      </c>
      <c r="Y223" s="2">
        <v>127.8182</v>
      </c>
      <c r="Z223" s="2">
        <v>0.44779920000000001</v>
      </c>
      <c r="AA223" s="2">
        <v>77.084029999999998</v>
      </c>
      <c r="AB223" s="2">
        <v>143.69239999999999</v>
      </c>
      <c r="AC223" s="2">
        <v>0.3998544</v>
      </c>
      <c r="AD223" s="1">
        <v>76.592209999999994</v>
      </c>
      <c r="AE223" s="1">
        <f t="shared" si="327"/>
        <v>-0.44779920000000001</v>
      </c>
      <c r="AF223" s="1">
        <f t="shared" si="328"/>
        <v>0.51093250000000001</v>
      </c>
      <c r="AI223" s="2">
        <v>166.27350000000001</v>
      </c>
      <c r="AJ223" s="2">
        <v>0.34444570000000002</v>
      </c>
      <c r="AK223" s="2">
        <v>75.977419999999995</v>
      </c>
      <c r="AL223" s="2">
        <v>192.44319999999999</v>
      </c>
      <c r="AM223" s="2">
        <v>0.29868430000000001</v>
      </c>
      <c r="AN223" s="2">
        <v>75.358339999999998</v>
      </c>
      <c r="AO223" s="1">
        <f t="shared" si="329"/>
        <v>-0.34444570000000002</v>
      </c>
      <c r="AP223" s="1">
        <f t="shared" si="330"/>
        <v>0.61428599999999989</v>
      </c>
      <c r="AX223" s="1"/>
      <c r="AY223" s="1">
        <f t="shared" si="331"/>
        <v>0</v>
      </c>
      <c r="AZ223" s="1">
        <f t="shared" si="332"/>
        <v>0.95873169999999996</v>
      </c>
    </row>
    <row r="224" spans="1:52" x14ac:dyDescent="0.3">
      <c r="A224" s="2" t="s">
        <v>28</v>
      </c>
      <c r="E224" s="2">
        <v>79.525700000000001</v>
      </c>
      <c r="F224" s="2">
        <v>0.68881150000000002</v>
      </c>
      <c r="G224" s="2">
        <v>79.950710000000001</v>
      </c>
      <c r="H224" s="2">
        <v>85.870249999999999</v>
      </c>
      <c r="I224" s="2">
        <v>0.64155589999999996</v>
      </c>
      <c r="J224" s="2">
        <v>79.642049999999998</v>
      </c>
      <c r="K224" s="1">
        <f t="shared" si="324"/>
        <v>-0.68881150000000002</v>
      </c>
      <c r="L224" s="1">
        <v>0</v>
      </c>
      <c r="O224" s="2">
        <v>88.196060000000003</v>
      </c>
      <c r="P224" s="2">
        <v>0.62422889999999998</v>
      </c>
      <c r="Q224" s="2">
        <v>79.534999999999997</v>
      </c>
      <c r="R224" s="2">
        <v>95.878219999999999</v>
      </c>
      <c r="S224" s="2">
        <v>0.57743069999999996</v>
      </c>
      <c r="T224" s="1">
        <v>79.196560000000005</v>
      </c>
      <c r="U224" s="1">
        <f t="shared" si="325"/>
        <v>-0.62422889999999998</v>
      </c>
      <c r="V224" s="1">
        <f t="shared" si="326"/>
        <v>0.33450279999999999</v>
      </c>
      <c r="Y224" s="2">
        <v>116.3622</v>
      </c>
      <c r="Z224" s="2">
        <v>0.48211039999999999</v>
      </c>
      <c r="AA224" s="2">
        <v>78.404660000000007</v>
      </c>
      <c r="AB224" s="2">
        <v>129.3134</v>
      </c>
      <c r="AC224" s="2">
        <v>0.43617139999999999</v>
      </c>
      <c r="AD224" s="1">
        <v>77.969759999999994</v>
      </c>
      <c r="AE224" s="1">
        <f t="shared" si="327"/>
        <v>-0.48211039999999999</v>
      </c>
      <c r="AF224" s="1">
        <f t="shared" si="328"/>
        <v>0.47662129999999997</v>
      </c>
      <c r="AI224" s="2">
        <v>152.06909999999999</v>
      </c>
      <c r="AJ224" s="2">
        <v>0.37090640000000002</v>
      </c>
      <c r="AK224" s="2">
        <v>77.298860000000005</v>
      </c>
      <c r="AL224" s="2">
        <v>173.56399999999999</v>
      </c>
      <c r="AM224" s="2">
        <v>0.32664349999999998</v>
      </c>
      <c r="AN224" s="2">
        <v>76.746960000000001</v>
      </c>
      <c r="AO224" s="1">
        <f t="shared" si="329"/>
        <v>-0.37090640000000002</v>
      </c>
      <c r="AP224" s="1">
        <f t="shared" si="330"/>
        <v>0.5878253</v>
      </c>
      <c r="AX224" s="1"/>
      <c r="AY224" s="1">
        <f t="shared" si="331"/>
        <v>0</v>
      </c>
      <c r="AZ224" s="1">
        <f t="shared" si="332"/>
        <v>0.95873169999999996</v>
      </c>
    </row>
    <row r="225" spans="1:52" x14ac:dyDescent="0.3">
      <c r="A225" s="2" t="s">
        <v>29</v>
      </c>
      <c r="E225" s="2">
        <v>79.525700000000001</v>
      </c>
      <c r="F225" s="2">
        <v>0.66310999999999998</v>
      </c>
      <c r="G225" s="2">
        <v>80.785560000000004</v>
      </c>
      <c r="H225" s="2">
        <v>85.870249999999999</v>
      </c>
      <c r="I225" s="2">
        <v>0.61920269999999999</v>
      </c>
      <c r="J225" s="2">
        <v>80.488039999999998</v>
      </c>
      <c r="K225" s="1">
        <f t="shared" si="324"/>
        <v>-0.66310999999999998</v>
      </c>
      <c r="L225" s="1">
        <v>0</v>
      </c>
      <c r="O225" s="2">
        <v>87.29965</v>
      </c>
      <c r="P225" s="2">
        <v>0.60860709999999996</v>
      </c>
      <c r="Q225" s="2">
        <v>80.424930000000003</v>
      </c>
      <c r="R225" s="2">
        <v>94.817160000000001</v>
      </c>
      <c r="S225" s="2">
        <v>0.56492489999999995</v>
      </c>
      <c r="T225" s="1">
        <v>80.101470000000006</v>
      </c>
      <c r="U225" s="1">
        <f t="shared" si="325"/>
        <v>-0.60860709999999996</v>
      </c>
      <c r="V225" s="1">
        <f t="shared" si="326"/>
        <v>0.35012460000000001</v>
      </c>
      <c r="Y225" s="2">
        <v>111.83240000000001</v>
      </c>
      <c r="Z225" s="2">
        <v>0.48683710000000002</v>
      </c>
      <c r="AA225" s="2">
        <v>79.447029999999998</v>
      </c>
      <c r="AB225" s="2">
        <v>123.7269</v>
      </c>
      <c r="AC225" s="2">
        <v>0.44351550000000001</v>
      </c>
      <c r="AD225" s="1">
        <v>79.042270000000002</v>
      </c>
      <c r="AE225" s="1">
        <f t="shared" si="327"/>
        <v>-0.48683710000000002</v>
      </c>
      <c r="AF225" s="1">
        <f t="shared" si="328"/>
        <v>0.47189459999999994</v>
      </c>
      <c r="AI225" s="2">
        <v>142.68260000000001</v>
      </c>
      <c r="AJ225" s="2">
        <v>0.38567950000000001</v>
      </c>
      <c r="AK225" s="2">
        <v>78.46848</v>
      </c>
      <c r="AL225" s="2">
        <v>161.3783</v>
      </c>
      <c r="AM225" s="2">
        <v>0.34357260000000001</v>
      </c>
      <c r="AN225" s="2">
        <v>77.966390000000004</v>
      </c>
      <c r="AO225" s="1">
        <f t="shared" si="329"/>
        <v>-0.38567950000000001</v>
      </c>
      <c r="AP225" s="1">
        <f t="shared" si="330"/>
        <v>0.57305220000000001</v>
      </c>
      <c r="AX225" s="1"/>
      <c r="AY225" s="1">
        <f t="shared" si="331"/>
        <v>0</v>
      </c>
      <c r="AZ225" s="1">
        <f t="shared" si="332"/>
        <v>0.95873169999999996</v>
      </c>
    </row>
    <row r="226" spans="1:52" x14ac:dyDescent="0.3">
      <c r="A226" s="2" t="s">
        <v>30</v>
      </c>
      <c r="E226" s="2">
        <v>79.525700000000001</v>
      </c>
      <c r="F226" s="2">
        <v>0.62876500000000002</v>
      </c>
      <c r="G226" s="2">
        <v>81.554580000000001</v>
      </c>
      <c r="H226" s="2">
        <v>85.870249999999999</v>
      </c>
      <c r="I226" s="2">
        <v>0.58915229999999996</v>
      </c>
      <c r="J226" s="2">
        <v>81.271979999999999</v>
      </c>
      <c r="K226" s="1">
        <f t="shared" si="324"/>
        <v>-0.62876500000000002</v>
      </c>
      <c r="L226" s="1">
        <v>0</v>
      </c>
      <c r="O226" s="2">
        <v>86.530280000000005</v>
      </c>
      <c r="P226" s="2">
        <v>0.5839529</v>
      </c>
      <c r="Q226" s="2">
        <v>81.245350000000002</v>
      </c>
      <c r="R226" s="2">
        <v>93.908140000000003</v>
      </c>
      <c r="S226" s="2">
        <v>0.5443192</v>
      </c>
      <c r="T226" s="1">
        <v>80.940100000000001</v>
      </c>
      <c r="U226" s="1">
        <f t="shared" si="325"/>
        <v>-0.5839529</v>
      </c>
      <c r="V226" s="1">
        <f t="shared" si="326"/>
        <v>0.37477879999999997</v>
      </c>
      <c r="Y226" s="2">
        <v>108.6378</v>
      </c>
      <c r="Z226" s="2">
        <v>0.48017779999999999</v>
      </c>
      <c r="AA226" s="2">
        <v>80.387209999999996</v>
      </c>
      <c r="AB226" s="2">
        <v>119.8154</v>
      </c>
      <c r="AC226" s="2">
        <v>0.44031389999999998</v>
      </c>
      <c r="AD226" s="1">
        <v>80.010819999999995</v>
      </c>
      <c r="AE226" s="1">
        <f t="shared" si="327"/>
        <v>-0.48017779999999999</v>
      </c>
      <c r="AF226" s="1">
        <f t="shared" si="328"/>
        <v>0.47855389999999998</v>
      </c>
      <c r="AI226" s="2">
        <v>136.25110000000001</v>
      </c>
      <c r="AJ226" s="2">
        <v>0.3897292</v>
      </c>
      <c r="AK226" s="2">
        <v>79.513840000000002</v>
      </c>
      <c r="AL226" s="2">
        <v>153.1576</v>
      </c>
      <c r="AM226" s="2">
        <v>0.35047850000000003</v>
      </c>
      <c r="AN226" s="2">
        <v>79.05283</v>
      </c>
      <c r="AO226" s="1">
        <f t="shared" si="329"/>
        <v>-0.3897292</v>
      </c>
      <c r="AP226" s="1">
        <f t="shared" si="330"/>
        <v>0.56900249999999997</v>
      </c>
      <c r="AX226" s="1"/>
      <c r="AY226" s="1">
        <f t="shared" si="331"/>
        <v>0</v>
      </c>
      <c r="AZ226" s="1">
        <f t="shared" si="332"/>
        <v>0.95873169999999996</v>
      </c>
    </row>
    <row r="227" spans="1:52" x14ac:dyDescent="0.3">
      <c r="A227" s="2" t="s">
        <v>31</v>
      </c>
      <c r="E227" s="2">
        <v>79.52431</v>
      </c>
      <c r="F227" s="2">
        <v>0.58052250000000005</v>
      </c>
      <c r="G227" s="2">
        <v>82.207899999999995</v>
      </c>
      <c r="H227" s="2">
        <v>85.868639999999999</v>
      </c>
      <c r="I227" s="2">
        <v>0.54659239999999998</v>
      </c>
      <c r="J227" s="2">
        <v>81.946340000000006</v>
      </c>
      <c r="K227" s="1">
        <f t="shared" si="324"/>
        <v>-0.58052250000000005</v>
      </c>
      <c r="L227" s="1">
        <v>0</v>
      </c>
      <c r="O227" s="2">
        <v>86.414379999999994</v>
      </c>
      <c r="P227" s="2">
        <v>0.54268240000000001</v>
      </c>
      <c r="Q227" s="2">
        <v>81.927019999999999</v>
      </c>
      <c r="R227" s="2">
        <v>93.771330000000006</v>
      </c>
      <c r="S227" s="2">
        <v>0.50837920000000003</v>
      </c>
      <c r="T227" s="1">
        <v>81.643450000000001</v>
      </c>
      <c r="U227" s="1">
        <f t="shared" si="325"/>
        <v>-0.54268240000000001</v>
      </c>
      <c r="V227" s="1">
        <f t="shared" si="326"/>
        <v>0.41604929999999996</v>
      </c>
      <c r="Y227" s="2">
        <v>108.51990000000001</v>
      </c>
      <c r="Z227" s="2">
        <v>0.45192359999999998</v>
      </c>
      <c r="AA227" s="2">
        <v>81.123850000000004</v>
      </c>
      <c r="AB227" s="2">
        <v>119.67140000000001</v>
      </c>
      <c r="AC227" s="2">
        <v>0.4165162</v>
      </c>
      <c r="AD227" s="1">
        <v>80.76952</v>
      </c>
      <c r="AE227" s="1">
        <f t="shared" si="327"/>
        <v>-0.45192359999999998</v>
      </c>
      <c r="AF227" s="1">
        <f t="shared" si="328"/>
        <v>0.50680809999999998</v>
      </c>
      <c r="AI227" s="2">
        <v>136.1352</v>
      </c>
      <c r="AJ227" s="2">
        <v>0.3709054</v>
      </c>
      <c r="AK227" s="2">
        <v>80.298839999999998</v>
      </c>
      <c r="AL227" s="2">
        <v>153.01009999999999</v>
      </c>
      <c r="AM227" s="2">
        <v>0.33524150000000003</v>
      </c>
      <c r="AN227" s="2">
        <v>79.859790000000004</v>
      </c>
      <c r="AO227" s="1">
        <f t="shared" si="329"/>
        <v>-0.3709054</v>
      </c>
      <c r="AP227" s="1">
        <f t="shared" si="330"/>
        <v>0.58782629999999991</v>
      </c>
      <c r="AX227" s="1"/>
      <c r="AY227" s="1">
        <f t="shared" si="331"/>
        <v>0</v>
      </c>
      <c r="AZ227" s="1">
        <f t="shared" si="332"/>
        <v>0.95873169999999996</v>
      </c>
    </row>
    <row r="228" spans="1:52" x14ac:dyDescent="0.3">
      <c r="A228" s="2" t="s">
        <v>32</v>
      </c>
      <c r="E228" s="2">
        <v>79.52431</v>
      </c>
      <c r="F228" s="2">
        <v>0.51666440000000002</v>
      </c>
      <c r="G228" s="2">
        <v>82.701790000000003</v>
      </c>
      <c r="H228" s="2">
        <v>85.868639999999999</v>
      </c>
      <c r="I228" s="2">
        <v>0.48961450000000001</v>
      </c>
      <c r="J228" s="2">
        <v>82.468249999999998</v>
      </c>
      <c r="K228" s="1">
        <f t="shared" si="324"/>
        <v>-0.51666440000000002</v>
      </c>
      <c r="L228" s="1">
        <v>0</v>
      </c>
      <c r="O228" s="2">
        <v>86.414379999999994</v>
      </c>
      <c r="P228" s="2">
        <v>0.48647499999999999</v>
      </c>
      <c r="Q228" s="2">
        <v>82.452169999999995</v>
      </c>
      <c r="R228" s="2">
        <v>93.771330000000006</v>
      </c>
      <c r="S228" s="2">
        <v>0.45872790000000002</v>
      </c>
      <c r="T228" s="1">
        <v>82.197109999999995</v>
      </c>
      <c r="U228" s="1">
        <f t="shared" si="325"/>
        <v>-0.48647499999999999</v>
      </c>
      <c r="V228" s="1">
        <f t="shared" si="326"/>
        <v>0.47225669999999997</v>
      </c>
      <c r="Y228" s="2">
        <v>108.51990000000001</v>
      </c>
      <c r="Z228" s="2">
        <v>0.41225729999999999</v>
      </c>
      <c r="AA228" s="2">
        <v>81.724869999999996</v>
      </c>
      <c r="AB228" s="2">
        <v>119.67140000000001</v>
      </c>
      <c r="AC228" s="2">
        <v>0.3825887</v>
      </c>
      <c r="AD228" s="1">
        <v>81.400509999999997</v>
      </c>
      <c r="AE228" s="1">
        <f t="shared" si="327"/>
        <v>-0.41225729999999999</v>
      </c>
      <c r="AF228" s="1">
        <f t="shared" si="328"/>
        <v>0.54647439999999992</v>
      </c>
      <c r="AI228" s="2">
        <v>136.1352</v>
      </c>
      <c r="AJ228" s="2">
        <v>0.34375939999999999</v>
      </c>
      <c r="AK228" s="2">
        <v>80.96875</v>
      </c>
      <c r="AL228" s="2">
        <v>153.01009999999999</v>
      </c>
      <c r="AM228" s="2">
        <v>0.31290770000000001</v>
      </c>
      <c r="AN228" s="2">
        <v>80.560370000000006</v>
      </c>
      <c r="AO228" s="1">
        <f t="shared" si="329"/>
        <v>-0.34375939999999999</v>
      </c>
      <c r="AP228" s="1">
        <f t="shared" si="330"/>
        <v>0.61497230000000003</v>
      </c>
      <c r="AX228" s="1"/>
      <c r="AY228" s="1">
        <f t="shared" si="331"/>
        <v>0</v>
      </c>
      <c r="AZ228" s="1">
        <f t="shared" si="332"/>
        <v>0.95873169999999996</v>
      </c>
    </row>
    <row r="229" spans="1:52" x14ac:dyDescent="0.3">
      <c r="A229" s="2" t="s">
        <v>33</v>
      </c>
      <c r="E229" s="2">
        <v>79.52431</v>
      </c>
      <c r="F229" s="2">
        <v>0.44679360000000001</v>
      </c>
      <c r="G229" s="2">
        <v>83.070769999999996</v>
      </c>
      <c r="H229" s="2">
        <v>85.868639999999999</v>
      </c>
      <c r="I229" s="2">
        <v>0.42642089999999999</v>
      </c>
      <c r="J229" s="2">
        <v>82.868089999999995</v>
      </c>
      <c r="K229" s="1">
        <f t="shared" si="324"/>
        <v>-0.44679360000000001</v>
      </c>
      <c r="L229" s="1">
        <v>0</v>
      </c>
      <c r="O229" s="2">
        <v>86.414379999999994</v>
      </c>
      <c r="P229" s="2">
        <v>0.42403750000000001</v>
      </c>
      <c r="Q229" s="2">
        <v>82.855609999999999</v>
      </c>
      <c r="R229" s="2">
        <v>93.771330000000006</v>
      </c>
      <c r="S229" s="2">
        <v>0.4028004</v>
      </c>
      <c r="T229" s="1">
        <v>82.632459999999995</v>
      </c>
      <c r="U229" s="1">
        <f t="shared" si="325"/>
        <v>-0.42403750000000001</v>
      </c>
      <c r="V229" s="1">
        <f t="shared" si="326"/>
        <v>0.5346941999999999</v>
      </c>
      <c r="Y229" s="2">
        <v>108.51990000000001</v>
      </c>
      <c r="Z229" s="2">
        <v>0.36652230000000002</v>
      </c>
      <c r="AA229" s="2">
        <v>82.214200000000005</v>
      </c>
      <c r="AB229" s="2">
        <v>119.67140000000001</v>
      </c>
      <c r="AC229" s="2">
        <v>0.34288249999999998</v>
      </c>
      <c r="AD229" s="1">
        <v>81.92465</v>
      </c>
      <c r="AE229" s="1">
        <f t="shared" si="327"/>
        <v>-0.36652230000000002</v>
      </c>
      <c r="AF229" s="1">
        <f t="shared" si="328"/>
        <v>0.5922094</v>
      </c>
      <c r="AI229" s="2">
        <v>136.1352</v>
      </c>
      <c r="AJ229" s="2">
        <v>0.31136259999999999</v>
      </c>
      <c r="AK229" s="2">
        <v>81.538880000000006</v>
      </c>
      <c r="AL229" s="2">
        <v>153.01009999999999</v>
      </c>
      <c r="AM229" s="2">
        <v>0.28583609999999998</v>
      </c>
      <c r="AN229" s="2">
        <v>81.167379999999994</v>
      </c>
      <c r="AO229" s="1">
        <f t="shared" si="329"/>
        <v>-0.31136259999999999</v>
      </c>
      <c r="AP229" s="1">
        <f t="shared" si="330"/>
        <v>0.64736909999999992</v>
      </c>
      <c r="AX229" s="1"/>
      <c r="AY229" s="1">
        <f t="shared" si="331"/>
        <v>0</v>
      </c>
      <c r="AZ229" s="1">
        <f t="shared" si="332"/>
        <v>0.95873169999999996</v>
      </c>
    </row>
    <row r="230" spans="1:52" x14ac:dyDescent="0.3">
      <c r="A230" s="2" t="s">
        <v>34</v>
      </c>
      <c r="E230" s="2">
        <v>79.52431</v>
      </c>
      <c r="F230" s="2">
        <v>0.37264940000000002</v>
      </c>
      <c r="G230" s="2">
        <v>83.282709999999994</v>
      </c>
      <c r="H230" s="2">
        <v>85.868639999999999</v>
      </c>
      <c r="I230" s="2">
        <v>0.3583693</v>
      </c>
      <c r="J230" s="2">
        <v>83.113010000000003</v>
      </c>
      <c r="K230" s="1">
        <f t="shared" si="324"/>
        <v>-0.37264940000000002</v>
      </c>
      <c r="L230" s="1">
        <v>0</v>
      </c>
      <c r="O230" s="2">
        <v>86.414379999999994</v>
      </c>
      <c r="P230" s="2">
        <v>0.35668440000000001</v>
      </c>
      <c r="Q230" s="2">
        <v>83.104399999999998</v>
      </c>
      <c r="R230" s="2">
        <v>93.771330000000006</v>
      </c>
      <c r="S230" s="2">
        <v>0.34153749999999999</v>
      </c>
      <c r="T230" s="1">
        <v>82.915949999999995</v>
      </c>
      <c r="U230" s="1">
        <f t="shared" si="325"/>
        <v>-0.35668440000000001</v>
      </c>
      <c r="V230" s="1">
        <f t="shared" si="326"/>
        <v>0.60204729999999995</v>
      </c>
      <c r="Y230" s="2">
        <v>108.51990000000001</v>
      </c>
      <c r="Z230" s="2">
        <v>0.31509320000000002</v>
      </c>
      <c r="AA230" s="2">
        <v>82.557590000000005</v>
      </c>
      <c r="AB230" s="2">
        <v>119.67140000000001</v>
      </c>
      <c r="AC230" s="2">
        <v>0.29746250000000002</v>
      </c>
      <c r="AD230" s="1">
        <v>82.307509999999994</v>
      </c>
      <c r="AE230" s="1">
        <f t="shared" si="327"/>
        <v>-0.31509320000000002</v>
      </c>
      <c r="AF230" s="1">
        <f t="shared" si="328"/>
        <v>0.6436385</v>
      </c>
      <c r="AI230" s="2">
        <v>136.1352</v>
      </c>
      <c r="AJ230" s="2">
        <v>0.27344770000000002</v>
      </c>
      <c r="AK230" s="2">
        <v>81.974950000000007</v>
      </c>
      <c r="AL230" s="2">
        <v>153.01009999999999</v>
      </c>
      <c r="AM230" s="2">
        <v>0.25356089999999998</v>
      </c>
      <c r="AN230" s="2">
        <v>81.647030000000001</v>
      </c>
      <c r="AO230" s="1">
        <f t="shared" si="329"/>
        <v>-0.27344770000000002</v>
      </c>
      <c r="AP230" s="1">
        <f t="shared" si="330"/>
        <v>0.685284</v>
      </c>
      <c r="AX230" s="1"/>
      <c r="AY230" s="1">
        <f t="shared" si="331"/>
        <v>0</v>
      </c>
      <c r="AZ230" s="1">
        <f t="shared" si="332"/>
        <v>0.95873169999999996</v>
      </c>
    </row>
    <row r="231" spans="1:52" x14ac:dyDescent="0.3">
      <c r="A231" s="2" t="s">
        <v>35</v>
      </c>
      <c r="E231" s="2">
        <v>79.52431</v>
      </c>
      <c r="F231" s="2">
        <v>0.29403839999999998</v>
      </c>
      <c r="G231" s="2">
        <v>83.253749999999997</v>
      </c>
      <c r="H231" s="2">
        <v>85.868639999999999</v>
      </c>
      <c r="I231" s="2">
        <v>0.28507519999999997</v>
      </c>
      <c r="J231" s="2">
        <v>83.119290000000007</v>
      </c>
      <c r="K231" s="1">
        <f t="shared" si="324"/>
        <v>-0.29403839999999998</v>
      </c>
      <c r="L231" s="1">
        <v>0</v>
      </c>
      <c r="O231" s="2">
        <v>86.414379999999994</v>
      </c>
      <c r="P231" s="2">
        <v>0.28400799999999998</v>
      </c>
      <c r="Q231" s="2">
        <v>83.114869999999996</v>
      </c>
      <c r="R231" s="2">
        <v>93.771330000000006</v>
      </c>
      <c r="S231" s="2">
        <v>0.27432099999999998</v>
      </c>
      <c r="T231" s="1">
        <v>82.964160000000007</v>
      </c>
      <c r="U231" s="1">
        <f t="shared" si="325"/>
        <v>-0.28400799999999998</v>
      </c>
      <c r="V231" s="1">
        <f t="shared" si="326"/>
        <v>0.67472369999999993</v>
      </c>
      <c r="Y231" s="2">
        <v>108.51990000000001</v>
      </c>
      <c r="Z231" s="2">
        <v>0.25699719999999998</v>
      </c>
      <c r="AA231" s="2">
        <v>82.672489999999996</v>
      </c>
      <c r="AB231" s="2">
        <v>119.67140000000001</v>
      </c>
      <c r="AC231" s="2">
        <v>0.24514630000000001</v>
      </c>
      <c r="AD231" s="1">
        <v>82.467449999999999</v>
      </c>
      <c r="AE231" s="1">
        <f t="shared" si="327"/>
        <v>-0.25699719999999998</v>
      </c>
      <c r="AF231" s="1">
        <f t="shared" si="328"/>
        <v>0.70173449999999993</v>
      </c>
      <c r="AI231" s="2">
        <v>136.1352</v>
      </c>
      <c r="AJ231" s="2">
        <v>0.2286009</v>
      </c>
      <c r="AK231" s="2">
        <v>82.19699</v>
      </c>
      <c r="AL231" s="2">
        <v>153.01009999999999</v>
      </c>
      <c r="AM231" s="2">
        <v>0.21453449999999999</v>
      </c>
      <c r="AN231" s="2">
        <v>81.921189999999996</v>
      </c>
      <c r="AO231" s="1">
        <f t="shared" si="329"/>
        <v>-0.2286009</v>
      </c>
      <c r="AP231" s="1">
        <f t="shared" si="330"/>
        <v>0.73013079999999997</v>
      </c>
      <c r="AX231" s="1"/>
      <c r="AY231" s="1">
        <f t="shared" si="331"/>
        <v>0</v>
      </c>
      <c r="AZ231" s="1">
        <f t="shared" si="332"/>
        <v>0.95873169999999996</v>
      </c>
    </row>
    <row r="232" spans="1:52" x14ac:dyDescent="0.3">
      <c r="A232" s="3" t="s">
        <v>36</v>
      </c>
      <c r="B232" s="3"/>
      <c r="C232" s="14"/>
      <c r="E232" s="3">
        <v>79.52431</v>
      </c>
      <c r="F232" s="3">
        <v>0.23238700000000001</v>
      </c>
      <c r="G232" s="3">
        <v>83.231830000000002</v>
      </c>
      <c r="H232" s="3">
        <v>85.868639999999999</v>
      </c>
      <c r="I232" s="3">
        <v>0.22675239999999999</v>
      </c>
      <c r="J232" s="3">
        <v>83.125230000000002</v>
      </c>
      <c r="K232" s="1">
        <f t="shared" si="324"/>
        <v>-0.23238700000000001</v>
      </c>
      <c r="L232" s="1">
        <v>0</v>
      </c>
      <c r="M232" s="14"/>
      <c r="N232" s="3"/>
      <c r="O232" s="3">
        <v>86.414379999999994</v>
      </c>
      <c r="P232" s="3">
        <v>0.22607669999999999</v>
      </c>
      <c r="Q232" s="3">
        <v>83.124120000000005</v>
      </c>
      <c r="R232" s="3">
        <v>93.771330000000006</v>
      </c>
      <c r="S232" s="3">
        <v>0.21989549999999999</v>
      </c>
      <c r="T232" s="4">
        <v>83.003730000000004</v>
      </c>
      <c r="U232" s="1">
        <f t="shared" si="325"/>
        <v>-0.22607669999999999</v>
      </c>
      <c r="V232" s="1">
        <f t="shared" si="326"/>
        <v>0.73265499999999995</v>
      </c>
      <c r="W232" s="14"/>
      <c r="X232" s="3"/>
      <c r="Y232" s="3">
        <v>108.51990000000001</v>
      </c>
      <c r="Z232" s="3">
        <v>0.20862259999999999</v>
      </c>
      <c r="AA232" s="3">
        <v>82.766810000000007</v>
      </c>
      <c r="AB232" s="3">
        <v>119.67140000000001</v>
      </c>
      <c r="AC232" s="3">
        <v>0.2007449</v>
      </c>
      <c r="AD232" s="4">
        <v>82.599639999999994</v>
      </c>
      <c r="AE232" s="1">
        <f t="shared" si="327"/>
        <v>-0.20862259999999999</v>
      </c>
      <c r="AF232" s="1">
        <f t="shared" si="328"/>
        <v>0.75010909999999997</v>
      </c>
      <c r="AG232" s="14"/>
      <c r="AH232" s="3"/>
      <c r="AI232" s="3">
        <v>136.1352</v>
      </c>
      <c r="AJ232" s="3">
        <v>0.18951290000000001</v>
      </c>
      <c r="AK232" s="3">
        <v>82.382599999999996</v>
      </c>
      <c r="AL232" s="3">
        <v>153.01009999999999</v>
      </c>
      <c r="AM232" s="3">
        <v>0.17974280000000001</v>
      </c>
      <c r="AN232" s="3">
        <v>82.152730000000005</v>
      </c>
      <c r="AO232" s="1">
        <f t="shared" si="329"/>
        <v>-0.18951290000000001</v>
      </c>
      <c r="AP232" s="1">
        <f t="shared" si="330"/>
        <v>0.76921879999999998</v>
      </c>
      <c r="AQ232" s="14"/>
      <c r="AR232" s="3"/>
      <c r="AS232" s="3"/>
      <c r="AT232" s="3"/>
      <c r="AU232" s="3"/>
      <c r="AV232" s="3"/>
      <c r="AW232" s="3"/>
      <c r="AX232" s="4"/>
      <c r="AY232" s="1">
        <f t="shared" si="331"/>
        <v>0</v>
      </c>
      <c r="AZ232" s="1">
        <f t="shared" si="332"/>
        <v>0.95873169999999996</v>
      </c>
    </row>
    <row r="233" spans="1:52" ht="15" thickBot="1" x14ac:dyDescent="0.35">
      <c r="A233" s="15" t="s">
        <v>49</v>
      </c>
      <c r="B233" s="16">
        <f>SUM(B206:B232)/27</f>
        <v>0</v>
      </c>
      <c r="C233" s="17"/>
      <c r="D233" s="16">
        <f>SUM(E206:E232)/27</f>
        <v>78.362477777777769</v>
      </c>
      <c r="E233" s="16">
        <f>SUM(F206:F232)/27</f>
        <v>0.68747657037037035</v>
      </c>
      <c r="F233" s="16">
        <f>SUM(G206:G232)/27</f>
        <v>74.694066666666671</v>
      </c>
      <c r="G233" s="16">
        <f>SUM(H206:H232)/27</f>
        <v>84.722682222222204</v>
      </c>
      <c r="H233" s="16">
        <f>SUM(I206:I232)/27</f>
        <v>0.6426835481481481</v>
      </c>
      <c r="I233" s="16">
        <f>SUM(J206:J232)/27</f>
        <v>74.405247777777774</v>
      </c>
      <c r="J233" s="16">
        <f>SUM(J206:J232)/27</f>
        <v>74.405247777777774</v>
      </c>
      <c r="K233" s="16">
        <f>SUM(K206:K232)/27</f>
        <v>-0.68747657037037035</v>
      </c>
      <c r="L233" s="16">
        <f t="shared" ref="L233" si="333">SUM(L206:L232)/27</f>
        <v>0</v>
      </c>
      <c r="M233" s="17"/>
      <c r="N233" s="16">
        <f>SUM(N206:N232)/27</f>
        <v>0</v>
      </c>
      <c r="O233" s="16">
        <f t="shared" ref="O233" si="334">SUM(O206:O232)/27</f>
        <v>85.752940370370368</v>
      </c>
      <c r="P233" s="16">
        <f t="shared" ref="P233" si="335">SUM(P206:P232)/27</f>
        <v>0.63178141111111119</v>
      </c>
      <c r="Q233" s="16">
        <f t="shared" ref="Q233" si="336">SUM(Q206:Q232)/27</f>
        <v>74.352379629629638</v>
      </c>
      <c r="R233" s="16">
        <f t="shared" ref="R233" si="337">SUM(R206:R232)/27</f>
        <v>93.258031851851868</v>
      </c>
      <c r="S233" s="16">
        <f t="shared" ref="S233" si="338">SUM(S206:S232)/27</f>
        <v>0.58766307407407414</v>
      </c>
      <c r="T233" s="16">
        <f t="shared" ref="T233" si="339">SUM(T206:T232)/27</f>
        <v>74.039963333333347</v>
      </c>
      <c r="U233" s="16">
        <f t="shared" ref="U233" si="340">SUM(U206:U232)/27</f>
        <v>-0.63178141111111119</v>
      </c>
      <c r="V233" s="1">
        <f t="shared" si="326"/>
        <v>0.32695028888888877</v>
      </c>
      <c r="W233" s="17"/>
      <c r="X233" s="16">
        <f>SUM(X206:X232)/27</f>
        <v>0</v>
      </c>
      <c r="Y233" s="16">
        <f t="shared" ref="Y233" si="341">SUM(Y206:Y232)/27</f>
        <v>108.31853629629633</v>
      </c>
      <c r="Z233" s="16">
        <f t="shared" ref="Z233" si="342">SUM(Z206:Z232)/27</f>
        <v>0.5225164000000001</v>
      </c>
      <c r="AA233" s="16">
        <f t="shared" ref="AA233" si="343">SUM(AA206:AA232)/27</f>
        <v>73.490810740740756</v>
      </c>
      <c r="AB233" s="16">
        <f t="shared" ref="AB233" si="344">SUM(AB206:AB232)/27</f>
        <v>120.06816481481485</v>
      </c>
      <c r="AC233" s="16">
        <f t="shared" ref="AC233" si="345">SUM(AC206:AC232)/27</f>
        <v>0.4796735962962963</v>
      </c>
      <c r="AD233" s="16">
        <f t="shared" ref="AD233" si="346">SUM(AD206:AD232)/27</f>
        <v>73.107038148148149</v>
      </c>
      <c r="AE233" s="16">
        <f t="shared" ref="AE233" si="347">SUM(AE206:AE232)/27</f>
        <v>-0.5225164000000001</v>
      </c>
      <c r="AF233" s="16">
        <f t="shared" ref="AF233" si="348">SUM(AF206:AF232)/27</f>
        <v>0.43621529999999992</v>
      </c>
      <c r="AG233" s="17"/>
      <c r="AH233" s="16">
        <f>SUM(AH206:AH232)/27</f>
        <v>0</v>
      </c>
      <c r="AI233" s="16">
        <f t="shared" ref="AI233" si="349">SUM(AI206:AI232)/27</f>
        <v>136.43655962962967</v>
      </c>
      <c r="AJ233" s="16">
        <f t="shared" ref="AJ233" si="350">SUM(AJ206:AJ232)/27</f>
        <v>0.43593146296296298</v>
      </c>
      <c r="AK233" s="16">
        <f t="shared" ref="AK233" si="351">SUM(AK206:AK232)/27</f>
        <v>72.653102962962961</v>
      </c>
      <c r="AL233" s="16">
        <f t="shared" ref="AL233" si="352">SUM(AL206:AL232)/27</f>
        <v>154.85117296296298</v>
      </c>
      <c r="AM233" s="16">
        <f t="shared" ref="AM233" si="353">SUM(AM206:AM232)/27</f>
        <v>0.39486698888888877</v>
      </c>
      <c r="AN233" s="16">
        <f t="shared" ref="AN233" si="354">SUM(AN206:AN232)/27</f>
        <v>72.183535555555565</v>
      </c>
      <c r="AO233" s="16">
        <f t="shared" ref="AO233" si="355">SUM(AO206:AO232)/27</f>
        <v>-0.43593146296296298</v>
      </c>
      <c r="AP233" s="16">
        <f t="shared" ref="AP233" si="356">SUM(AP206:AP232)/27</f>
        <v>0.52280023703703693</v>
      </c>
      <c r="AQ233" s="17"/>
      <c r="AR233" s="16">
        <f>SUM(AR206:AR232)/27</f>
        <v>0</v>
      </c>
      <c r="AS233" s="16">
        <f t="shared" ref="AS233" si="357">SUM(AS206:AS232)/27</f>
        <v>0</v>
      </c>
      <c r="AT233" s="16">
        <f t="shared" ref="AT233" si="358">SUM(AT206:AT232)/27</f>
        <v>0</v>
      </c>
      <c r="AU233" s="16">
        <f t="shared" ref="AU233" si="359">SUM(AU206:AU232)/27</f>
        <v>0</v>
      </c>
      <c r="AV233" s="16">
        <f t="shared" ref="AV233" si="360">SUM(AV206:AV232)/27</f>
        <v>0</v>
      </c>
      <c r="AW233" s="16">
        <f t="shared" ref="AW233" si="361">SUM(AW206:AW232)/27</f>
        <v>0</v>
      </c>
      <c r="AX233" s="16">
        <f t="shared" ref="AX233" si="362">SUM(AX206:AX232)/27</f>
        <v>0</v>
      </c>
      <c r="AY233" s="16">
        <f t="shared" ref="AY233" si="363">SUM(AY206:AY232)/27</f>
        <v>0</v>
      </c>
      <c r="AZ233" s="16">
        <f t="shared" ref="AZ233" si="364">SUM(AZ206:AZ232)/27</f>
        <v>0.9587317000000003</v>
      </c>
    </row>
    <row r="234" spans="1:52" s="10" customFormat="1" ht="15" thickBot="1" x14ac:dyDescent="0.35">
      <c r="A234" s="9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Jørgensen</dc:creator>
  <cp:lastModifiedBy>Christian Jørgensen</cp:lastModifiedBy>
  <dcterms:created xsi:type="dcterms:W3CDTF">2026-04-14T09:32:11Z</dcterms:created>
  <dcterms:modified xsi:type="dcterms:W3CDTF">2026-04-14T10:14:02Z</dcterms:modified>
</cp:coreProperties>
</file>